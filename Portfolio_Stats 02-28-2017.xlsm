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330" yWindow="390" windowWidth="24615" windowHeight="14205"/>
  </bookViews>
  <sheets>
    <sheet name="NBSIX" sheetId="1" r:id="rId1"/>
    <sheet name="ILSURSCO" sheetId="2" r:id="rId2"/>
    <sheet name="NRCO" sheetId="3" r:id="rId3"/>
    <sheet name="MN" sheetId="4" r:id="rId4"/>
    <sheet name="NYCERSMO" sheetId="5" r:id="rId5"/>
    <sheet name="DAI" sheetId="6" r:id="rId6"/>
    <sheet name="DAI2" sheetId="7" r:id="rId7"/>
    <sheet name="MYCR" sheetId="8" r:id="rId8"/>
    <sheet name="NBSIU" sheetId="9" r:id="rId9"/>
    <sheet name="UPS" sheetId="10" r:id="rId10"/>
    <sheet name="ZEN" sheetId="11" r:id="rId11"/>
    <sheet name="DAL" sheetId="12" r:id="rId12"/>
    <sheet name="JNL" sheetId="13" r:id="rId13"/>
    <sheet name="LAW" sheetId="14" r:id="rId14"/>
    <sheet name="LAW2" sheetId="15" r:id="rId15"/>
    <sheet name="FSBCCO" sheetId="16" r:id="rId16"/>
    <sheet name="NYSC" sheetId="17" r:id="rId17"/>
  </sheets>
  <calcPr calcId="145621"/>
</workbook>
</file>

<file path=xl/calcChain.xml><?xml version="1.0" encoding="utf-8"?>
<calcChain xmlns="http://schemas.openxmlformats.org/spreadsheetml/2006/main">
  <c r="Y67" i="17" l="1"/>
  <c r="X67" i="17"/>
  <c r="W67" i="17"/>
  <c r="C47" i="17"/>
  <c r="B47" i="17"/>
  <c r="C35" i="17"/>
  <c r="B35" i="17"/>
  <c r="C22" i="17"/>
  <c r="B22" i="17"/>
  <c r="Y67" i="16"/>
  <c r="X67" i="16"/>
  <c r="W67" i="16"/>
  <c r="C47" i="16"/>
  <c r="B47" i="16"/>
  <c r="C35" i="16"/>
  <c r="B35" i="16"/>
  <c r="C22" i="16"/>
  <c r="B22" i="16"/>
  <c r="Y67" i="15"/>
  <c r="X67" i="15"/>
  <c r="W67" i="15"/>
  <c r="C47" i="15"/>
  <c r="B47" i="15"/>
  <c r="C35" i="15"/>
  <c r="B35" i="15"/>
  <c r="C22" i="15"/>
  <c r="B22" i="15"/>
  <c r="Y67" i="14"/>
  <c r="X67" i="14"/>
  <c r="W67" i="14"/>
  <c r="C47" i="14"/>
  <c r="B47" i="14"/>
  <c r="C35" i="14"/>
  <c r="B35" i="14"/>
  <c r="C22" i="14"/>
  <c r="B22" i="14"/>
  <c r="Y67" i="13"/>
  <c r="X67" i="13"/>
  <c r="W67" i="13"/>
  <c r="C47" i="13"/>
  <c r="B47" i="13"/>
  <c r="C35" i="13"/>
  <c r="B35" i="13"/>
  <c r="C22" i="13"/>
  <c r="B22" i="13"/>
  <c r="Y67" i="12"/>
  <c r="X67" i="12"/>
  <c r="W67" i="12"/>
  <c r="C47" i="12"/>
  <c r="B47" i="12"/>
  <c r="C35" i="12"/>
  <c r="B35" i="12"/>
  <c r="C22" i="12"/>
  <c r="B22" i="12"/>
  <c r="Y67" i="11"/>
  <c r="X67" i="11"/>
  <c r="W67" i="11"/>
  <c r="C47" i="11"/>
  <c r="B47" i="11"/>
  <c r="C35" i="11"/>
  <c r="B35" i="11"/>
  <c r="C22" i="11"/>
  <c r="B22" i="11"/>
  <c r="Y67" i="10"/>
  <c r="X67" i="10"/>
  <c r="W67" i="10"/>
  <c r="C47" i="10"/>
  <c r="B47" i="10"/>
  <c r="C35" i="10"/>
  <c r="B35" i="10"/>
  <c r="C22" i="10"/>
  <c r="B22" i="10"/>
  <c r="Y67" i="9"/>
  <c r="X67" i="9"/>
  <c r="W67" i="9"/>
  <c r="C47" i="9"/>
  <c r="B47" i="9"/>
  <c r="C35" i="9"/>
  <c r="B35" i="9"/>
  <c r="C22" i="9"/>
  <c r="B22" i="9"/>
  <c r="Y67" i="8"/>
  <c r="X67" i="8"/>
  <c r="W67" i="8"/>
  <c r="C47" i="8"/>
  <c r="B47" i="8"/>
  <c r="C35" i="8"/>
  <c r="B35" i="8"/>
  <c r="C22" i="8"/>
  <c r="B22" i="8"/>
  <c r="Y67" i="7"/>
  <c r="X67" i="7"/>
  <c r="W67" i="7"/>
  <c r="C47" i="7"/>
  <c r="B47" i="7"/>
  <c r="C35" i="7"/>
  <c r="B35" i="7"/>
  <c r="C22" i="7"/>
  <c r="B22" i="7"/>
  <c r="Y67" i="6"/>
  <c r="X67" i="6"/>
  <c r="W67" i="6"/>
  <c r="C47" i="6"/>
  <c r="B47" i="6"/>
  <c r="C35" i="6"/>
  <c r="B35" i="6"/>
  <c r="C22" i="6"/>
  <c r="B22" i="6"/>
  <c r="Y67" i="5"/>
  <c r="X67" i="5"/>
  <c r="W67" i="5"/>
  <c r="C47" i="5"/>
  <c r="B47" i="5"/>
  <c r="C35" i="5"/>
  <c r="B35" i="5"/>
  <c r="C22" i="5"/>
  <c r="B22" i="5"/>
  <c r="Y67" i="4"/>
  <c r="X67" i="4"/>
  <c r="W67" i="4"/>
  <c r="C47" i="4"/>
  <c r="B47" i="4"/>
  <c r="C35" i="4"/>
  <c r="B35" i="4"/>
  <c r="C22" i="4"/>
  <c r="B22" i="4"/>
  <c r="Y67" i="3"/>
  <c r="X67" i="3"/>
  <c r="W67" i="3"/>
  <c r="C47" i="3"/>
  <c r="B47" i="3"/>
  <c r="C35" i="3"/>
  <c r="B35" i="3"/>
  <c r="C22" i="3"/>
  <c r="B22" i="3"/>
  <c r="Y67" i="2"/>
  <c r="X67" i="2"/>
  <c r="W67" i="2"/>
  <c r="C47" i="2"/>
  <c r="B47" i="2"/>
  <c r="C35" i="2"/>
  <c r="B35" i="2"/>
  <c r="C22" i="2"/>
  <c r="B22" i="2"/>
  <c r="Y67" i="1"/>
  <c r="X67" i="1"/>
  <c r="W67" i="1"/>
  <c r="C47" i="1"/>
  <c r="B47" i="1"/>
  <c r="C35" i="1"/>
  <c r="B35" i="1"/>
  <c r="C22" i="1"/>
  <c r="B22" i="1"/>
</calcChain>
</file>

<file path=xl/sharedStrings.xml><?xml version="1.0" encoding="utf-8"?>
<sst xmlns="http://schemas.openxmlformats.org/spreadsheetml/2006/main" count="2840" uniqueCount="134">
  <si>
    <t>Portfolio Characteristics</t>
  </si>
  <si>
    <t>Strategic Income Fund</t>
  </si>
  <si>
    <t>Barclays U.S. Aggregate Index</t>
  </si>
  <si>
    <t>Weighted Average Duration (yrs)</t>
  </si>
  <si>
    <t>Weighted Average OAS (bps)</t>
  </si>
  <si>
    <t>Weighted Average Spread Duration (yrs)</t>
  </si>
  <si>
    <t>Maturity (yrs)</t>
  </si>
  <si>
    <t>Yield to Maturity (%)</t>
  </si>
  <si>
    <t>Yield to Worst (%)</t>
  </si>
  <si>
    <t>Weighted Average Coupon (%)</t>
  </si>
  <si>
    <t>S&amp;P Rating</t>
  </si>
  <si>
    <t>BBB+</t>
  </si>
  <si>
    <t>AA</t>
  </si>
  <si>
    <t>Portfolio Market Value ($)</t>
  </si>
  <si>
    <t>-</t>
  </si>
  <si>
    <t>Barclays Index Classification</t>
  </si>
  <si>
    <t>AAA or Above</t>
  </si>
  <si>
    <t>KRD</t>
  </si>
  <si>
    <t>Portfolio</t>
  </si>
  <si>
    <t>Benchmark</t>
  </si>
  <si>
    <t>Active</t>
  </si>
  <si>
    <t>AA Rated</t>
  </si>
  <si>
    <t>3M</t>
  </si>
  <si>
    <t>A Rated</t>
  </si>
  <si>
    <t>1Y</t>
  </si>
  <si>
    <t>BBB Rated</t>
  </si>
  <si>
    <t>2Y</t>
  </si>
  <si>
    <t>BB Rated</t>
  </si>
  <si>
    <t>3Y</t>
  </si>
  <si>
    <t>B Rated</t>
  </si>
  <si>
    <t>5Y</t>
  </si>
  <si>
    <t>CCC Rated and Below</t>
  </si>
  <si>
    <t>7Y</t>
  </si>
  <si>
    <t>Not Rated</t>
  </si>
  <si>
    <t>10Y</t>
  </si>
  <si>
    <t>Cash/Cash Equivalents</t>
  </si>
  <si>
    <t>15Y</t>
  </si>
  <si>
    <t>Total</t>
  </si>
  <si>
    <t>20Y</t>
  </si>
  <si>
    <t>25Y</t>
  </si>
  <si>
    <t>30Y</t>
  </si>
  <si>
    <t>S&amp;P Ratings</t>
  </si>
  <si>
    <t>S&amp;P AAA or Above</t>
  </si>
  <si>
    <t>S&amp;P AA</t>
  </si>
  <si>
    <t>S&amp;P A</t>
  </si>
  <si>
    <t>S&amp;P BBB</t>
  </si>
  <si>
    <t>S&amp;P BB</t>
  </si>
  <si>
    <t>S&amp;P B</t>
  </si>
  <si>
    <t>S&amp;P CCC or Below</t>
  </si>
  <si>
    <t>S&amp;P Not Rated</t>
  </si>
  <si>
    <t>Moodys Ratings</t>
  </si>
  <si>
    <t>Moodys AAA or Above</t>
  </si>
  <si>
    <t>Moodys AA</t>
  </si>
  <si>
    <t>Moodys A</t>
  </si>
  <si>
    <t>Moodys BBB</t>
  </si>
  <si>
    <t>Moodys BB</t>
  </si>
  <si>
    <t>Moodys B</t>
  </si>
  <si>
    <t>Moodys CCC or Below</t>
  </si>
  <si>
    <t>Moodys Not Rated</t>
  </si>
  <si>
    <t>Sector</t>
  </si>
  <si>
    <t>Difference</t>
  </si>
  <si>
    <t>Company (MV%)</t>
  </si>
  <si>
    <t>Company ($ Duration)</t>
  </si>
  <si>
    <t>State Universities Retirement System</t>
  </si>
  <si>
    <t>A</t>
  </si>
  <si>
    <t>NRECA Retirement Trust</t>
  </si>
  <si>
    <t>AA-</t>
  </si>
  <si>
    <t>Minnesota State Board</t>
  </si>
  <si>
    <t>NYC Employees' Retirement System</t>
  </si>
  <si>
    <t>Citigroup Mortgage Index</t>
  </si>
  <si>
    <t>AA+</t>
  </si>
  <si>
    <t>Daiwa Premium Trust</t>
  </si>
  <si>
    <t>A-</t>
  </si>
  <si>
    <t>Daiwa SBI</t>
  </si>
  <si>
    <t>MY-NB US CREDIT FUND</t>
  </si>
  <si>
    <t>Barclays U.S. Credit Index</t>
  </si>
  <si>
    <t>Strategic Income UCITS</t>
  </si>
  <si>
    <t>UBS Pace</t>
  </si>
  <si>
    <t>Barclays Government Credit Index</t>
  </si>
  <si>
    <t>BBB</t>
  </si>
  <si>
    <t>Zenkyoren Strategic Income</t>
  </si>
  <si>
    <t>Employees Retirement Fund of the City of Dallas</t>
  </si>
  <si>
    <t>NYS Common Custom Index</t>
  </si>
  <si>
    <t>B+</t>
  </si>
  <si>
    <t>BB-</t>
  </si>
  <si>
    <t>JNL/Neuberger Berman Strategic Income</t>
  </si>
  <si>
    <t>LA Water &amp; Power Employees Retirement Plan</t>
  </si>
  <si>
    <t>LA Water &amp; Power Custom Benchmark</t>
  </si>
  <si>
    <t>BBB-</t>
  </si>
  <si>
    <t>LA Water &amp; Power Retiree Health Benefits</t>
  </si>
  <si>
    <t>Florida State Board of Administration -Core Bond</t>
  </si>
  <si>
    <t>Barclays Intermediate Aggregate Index</t>
  </si>
  <si>
    <t>NYS Common Retirement Fund</t>
  </si>
  <si>
    <t>BB+</t>
  </si>
  <si>
    <t>Market Value %</t>
  </si>
  <si>
    <t>Duration Contribution</t>
  </si>
  <si>
    <t>Nominal Yield Contribution</t>
  </si>
  <si>
    <t>OAS</t>
  </si>
  <si>
    <t>OAS Contribution</t>
  </si>
  <si>
    <t>Spread Duration</t>
  </si>
  <si>
    <t>Spread Duration Contribution</t>
  </si>
  <si>
    <t>Security Description</t>
  </si>
  <si>
    <t>Government Related</t>
  </si>
  <si>
    <t>Agencies</t>
  </si>
  <si>
    <t>Treasuries</t>
  </si>
  <si>
    <t>US Treasury Bullets</t>
  </si>
  <si>
    <t>US Treasury TIPs</t>
  </si>
  <si>
    <t>US Treasury Futures</t>
  </si>
  <si>
    <t>US Interest Rate Swap Futures</t>
  </si>
  <si>
    <t>Global Inflation Bonds</t>
  </si>
  <si>
    <t>Asia-Ex Japan</t>
  </si>
  <si>
    <t xml:space="preserve">Global Sovereign </t>
  </si>
  <si>
    <t>Securitized</t>
  </si>
  <si>
    <t>Agency Pass-thru</t>
  </si>
  <si>
    <t>Non-Agency RMBS</t>
  </si>
  <si>
    <t>CMBS</t>
  </si>
  <si>
    <t>ABS</t>
  </si>
  <si>
    <t>Covered Bonds</t>
  </si>
  <si>
    <t>Bank Loans</t>
  </si>
  <si>
    <t>IG Credit</t>
  </si>
  <si>
    <t>Corporate</t>
  </si>
  <si>
    <t>Financial</t>
  </si>
  <si>
    <t>Industrial</t>
  </si>
  <si>
    <t>Utilities</t>
  </si>
  <si>
    <t>Non-Corporate</t>
  </si>
  <si>
    <t>High Yield</t>
  </si>
  <si>
    <t>Senior Floating Rate Loans</t>
  </si>
  <si>
    <t>Emerging Market</t>
  </si>
  <si>
    <t>Cash / Cash Equivalents</t>
  </si>
  <si>
    <t>Net Unsettled Positions</t>
  </si>
  <si>
    <t>Agency CMO</t>
  </si>
  <si>
    <t>Credit Derivative(s)</t>
  </si>
  <si>
    <t>Other</t>
  </si>
  <si>
    <t>Non-dollar-denominated 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</si>
</sst>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164" formatCode="0.000"/>
    <numFmt numFmtId="165" formatCode="0.0%"/>
  </numFmts>
  <fonts count="8">
    <font>
      <sz val="10"/>
      <color theme="1"/>
      <name val="ArialMT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sz val="9"/>
      <name val="Arial Narrow"/>
      <family val="2"/>
    </font>
    <font>
      <b/>
      <sz val="10"/>
      <name val="ArialMT"/>
    </font>
    <font>
      <b/>
      <sz val="10"/>
      <name val="Arial"/>
      <family val="2"/>
    </font>
    <font>
      <b/>
      <sz val="10"/>
      <color rgb="FFFFFFFF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B2C7D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202F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 style="double">
        <color theme="0" tint="-0.2499465926084170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0" tint="-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</cellStyleXfs>
  <cellXfs count="73">
    <xf numFmtId="0" fontId="0" fillId="0" borderId="0" xfId="0"/>
    <xf numFmtId="0" fontId="0" fillId="0" borderId="0" xfId="0" applyAlignment="1">
      <alignment horizontal="right"/>
    </xf>
    <xf numFmtId="14" fontId="1" fillId="0" borderId="1" xfId="1" applyNumberFormat="1" applyBorder="1"/>
    <xf numFmtId="0" fontId="1" fillId="0" borderId="1" xfId="1" applyBorder="1" applyAlignment="1">
      <alignment horizontal="center" vertical="center" wrapText="1"/>
    </xf>
    <xf numFmtId="0" fontId="2" fillId="0" borderId="2" xfId="1" applyFont="1" applyBorder="1"/>
    <xf numFmtId="14" fontId="1" fillId="0" borderId="1" xfId="1" applyNumberFormat="1" applyBorder="1" applyAlignment="1">
      <alignment horizontal="left"/>
    </xf>
    <xf numFmtId="0" fontId="2" fillId="0" borderId="1" xfId="1" applyFont="1" applyBorder="1"/>
    <xf numFmtId="2" fontId="2" fillId="0" borderId="1" xfId="2" applyNumberFormat="1" applyBorder="1" applyAlignment="1">
      <alignment horizontal="center" vertical="center"/>
    </xf>
    <xf numFmtId="0" fontId="0" fillId="0" borderId="0" xfId="0" applyAlignment="1">
      <alignment wrapText="1"/>
    </xf>
    <xf numFmtId="2" fontId="2" fillId="0" borderId="1" xfId="2" applyNumberFormat="1" applyBorder="1" applyAlignment="1">
      <alignment horizontal="right" vertical="center" indent="3"/>
    </xf>
    <xf numFmtId="1" fontId="2" fillId="0" borderId="1" xfId="2" applyNumberFormat="1" applyBorder="1" applyAlignment="1">
      <alignment horizontal="right" vertical="center" indent="3"/>
    </xf>
    <xf numFmtId="14" fontId="1" fillId="0" borderId="1" xfId="1" applyNumberFormat="1" applyBorder="1" applyAlignment="1">
      <alignment horizontal="center" vertical="center" wrapText="1"/>
    </xf>
    <xf numFmtId="2" fontId="2" fillId="0" borderId="2" xfId="2" applyNumberFormat="1" applyBorder="1" applyAlignment="1">
      <alignment horizontal="right" vertical="center" indent="3"/>
    </xf>
    <xf numFmtId="2" fontId="1" fillId="0" borderId="2" xfId="2" applyNumberFormat="1" applyFont="1" applyBorder="1" applyAlignment="1">
      <alignment horizontal="right" vertical="center" indent="3"/>
    </xf>
    <xf numFmtId="14" fontId="1" fillId="0" borderId="0" xfId="1" applyNumberFormat="1"/>
    <xf numFmtId="2" fontId="1" fillId="0" borderId="0" xfId="2" applyNumberFormat="1" applyFont="1" applyAlignment="1">
      <alignment horizontal="right" vertical="center" indent="3"/>
    </xf>
    <xf numFmtId="0" fontId="1" fillId="0" borderId="3" xfId="3" applyFont="1" applyBorder="1" applyAlignment="1">
      <alignment horizontal="center" wrapText="1"/>
    </xf>
    <xf numFmtId="0" fontId="1" fillId="0" borderId="3" xfId="3" applyFont="1" applyBorder="1" applyAlignment="1">
      <alignment horizontal="center"/>
    </xf>
    <xf numFmtId="0" fontId="4" fillId="0" borderId="0" xfId="3" applyFont="1"/>
    <xf numFmtId="0" fontId="1" fillId="0" borderId="3" xfId="4" applyFont="1" applyBorder="1"/>
    <xf numFmtId="0" fontId="1" fillId="0" borderId="3" xfId="4" applyFont="1" applyBorder="1" applyAlignment="1">
      <alignment horizontal="center"/>
    </xf>
    <xf numFmtId="0" fontId="1" fillId="0" borderId="0" xfId="4" applyFont="1" applyAlignment="1">
      <alignment horizontal="center"/>
    </xf>
    <xf numFmtId="0" fontId="1" fillId="0" borderId="3" xfId="4" applyFont="1" applyBorder="1" applyAlignment="1">
      <alignment horizontal="left"/>
    </xf>
    <xf numFmtId="0" fontId="2" fillId="0" borderId="0" xfId="3" applyAlignment="1">
      <alignment horizontal="left"/>
    </xf>
    <xf numFmtId="2" fontId="2" fillId="0" borderId="0" xfId="3" applyNumberFormat="1" applyAlignment="1">
      <alignment horizontal="center"/>
    </xf>
    <xf numFmtId="0" fontId="2" fillId="0" borderId="0" xfId="3"/>
    <xf numFmtId="0" fontId="2" fillId="0" borderId="0" xfId="4"/>
    <xf numFmtId="2" fontId="2" fillId="0" borderId="0" xfId="4" applyNumberFormat="1"/>
    <xf numFmtId="2" fontId="2" fillId="0" borderId="0" xfId="4" applyNumberFormat="1" applyAlignment="1">
      <alignment horizontal="center" wrapText="1"/>
    </xf>
    <xf numFmtId="0" fontId="2" fillId="0" borderId="3" xfId="3" applyBorder="1" applyAlignment="1">
      <alignment horizontal="left"/>
    </xf>
    <xf numFmtId="2" fontId="2" fillId="0" borderId="3" xfId="3" applyNumberFormat="1" applyBorder="1" applyAlignment="1">
      <alignment horizontal="center"/>
    </xf>
    <xf numFmtId="0" fontId="2" fillId="0" borderId="3" xfId="4" applyBorder="1"/>
    <xf numFmtId="2" fontId="2" fillId="0" borderId="3" xfId="4" applyNumberFormat="1" applyBorder="1"/>
    <xf numFmtId="2" fontId="2" fillId="0" borderId="3" xfId="4" applyNumberFormat="1" applyBorder="1" applyAlignment="1">
      <alignment horizontal="center" wrapText="1"/>
    </xf>
    <xf numFmtId="0" fontId="4" fillId="0" borderId="0" xfId="3" applyFont="1" applyAlignment="1">
      <alignment horizontal="left"/>
    </xf>
    <xf numFmtId="0" fontId="2" fillId="0" borderId="4" xfId="3" applyBorder="1" applyAlignment="1">
      <alignment horizontal="left"/>
    </xf>
    <xf numFmtId="2" fontId="2" fillId="0" borderId="4" xfId="3" applyNumberFormat="1" applyBorder="1" applyAlignment="1">
      <alignment horizontal="center"/>
    </xf>
    <xf numFmtId="0" fontId="1" fillId="0" borderId="5" xfId="3" applyFont="1" applyBorder="1" applyAlignment="1">
      <alignment horizontal="left"/>
    </xf>
    <xf numFmtId="2" fontId="1" fillId="0" borderId="5" xfId="3" applyNumberFormat="1" applyFont="1" applyBorder="1" applyAlignment="1">
      <alignment horizontal="center"/>
    </xf>
    <xf numFmtId="6" fontId="2" fillId="0" borderId="1" xfId="2" applyNumberFormat="1" applyBorder="1" applyAlignment="1">
      <alignment horizontal="center" vertical="center"/>
    </xf>
    <xf numFmtId="0" fontId="5" fillId="0" borderId="6" xfId="0" applyFont="1" applyBorder="1" applyAlignment="1">
      <alignment horizontal="center" vertical="top"/>
    </xf>
    <xf numFmtId="164" fontId="3" fillId="0" borderId="2" xfId="0" applyNumberFormat="1" applyFont="1" applyBorder="1" applyAlignment="1">
      <alignment horizontal="right" indent="2"/>
    </xf>
    <xf numFmtId="164" fontId="4" fillId="0" borderId="0" xfId="3" applyNumberFormat="1" applyFont="1" applyAlignment="1">
      <alignment horizontal="center"/>
    </xf>
    <xf numFmtId="0" fontId="2" fillId="0" borderId="0" xfId="0" applyFont="1" applyFill="1" applyBorder="1"/>
    <xf numFmtId="0" fontId="1" fillId="0" borderId="7" xfId="0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0" borderId="7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3" fontId="6" fillId="0" borderId="7" xfId="0" applyNumberFormat="1" applyFont="1" applyBorder="1" applyAlignment="1">
      <alignment horizontal="center" vertical="center" wrapText="1"/>
    </xf>
    <xf numFmtId="3" fontId="1" fillId="0" borderId="7" xfId="0" applyNumberFormat="1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2" fillId="2" borderId="3" xfId="0" applyFont="1" applyFill="1" applyBorder="1" applyAlignment="1">
      <alignment horizontal="left" indent="1"/>
    </xf>
    <xf numFmtId="4" fontId="2" fillId="2" borderId="3" xfId="0" applyNumberFormat="1" applyFont="1" applyFill="1" applyBorder="1" applyAlignment="1">
      <alignment horizontal="right" indent="2"/>
    </xf>
    <xf numFmtId="3" fontId="2" fillId="2" borderId="3" xfId="0" applyNumberFormat="1" applyFont="1" applyFill="1" applyBorder="1" applyAlignment="1">
      <alignment horizontal="right" indent="2"/>
    </xf>
    <xf numFmtId="0" fontId="2" fillId="3" borderId="8" xfId="0" applyFont="1" applyFill="1" applyBorder="1" applyAlignment="1">
      <alignment horizontal="left" indent="2"/>
    </xf>
    <xf numFmtId="4" fontId="2" fillId="3" borderId="8" xfId="0" applyNumberFormat="1" applyFont="1" applyFill="1" applyBorder="1" applyAlignment="1">
      <alignment horizontal="right" indent="2"/>
    </xf>
    <xf numFmtId="3" fontId="2" fillId="3" borderId="8" xfId="0" applyNumberFormat="1" applyFont="1" applyFill="1" applyBorder="1" applyAlignment="1">
      <alignment horizontal="right" indent="2"/>
    </xf>
    <xf numFmtId="0" fontId="2" fillId="0" borderId="8" xfId="0" applyFont="1" applyFill="1" applyBorder="1" applyAlignment="1">
      <alignment horizontal="left" indent="3"/>
    </xf>
    <xf numFmtId="4" fontId="2" fillId="0" borderId="8" xfId="0" applyNumberFormat="1" applyFont="1" applyFill="1" applyBorder="1" applyAlignment="1">
      <alignment horizontal="right" indent="2"/>
    </xf>
    <xf numFmtId="3" fontId="2" fillId="0" borderId="8" xfId="0" applyNumberFormat="1" applyFont="1" applyFill="1" applyBorder="1" applyAlignment="1">
      <alignment horizontal="right" indent="2"/>
    </xf>
    <xf numFmtId="165" fontId="2" fillId="0" borderId="8" xfId="0" applyNumberFormat="1" applyFont="1" applyFill="1" applyBorder="1" applyAlignment="1">
      <alignment horizontal="right" indent="2"/>
    </xf>
    <xf numFmtId="165" fontId="2" fillId="3" borderId="8" xfId="0" applyNumberFormat="1" applyFont="1" applyFill="1" applyBorder="1" applyAlignment="1">
      <alignment horizontal="right" indent="2"/>
    </xf>
    <xf numFmtId="0" fontId="2" fillId="2" borderId="8" xfId="0" applyFont="1" applyFill="1" applyBorder="1" applyAlignment="1">
      <alignment horizontal="left" indent="1"/>
    </xf>
    <xf numFmtId="4" fontId="2" fillId="2" borderId="8" xfId="0" applyNumberFormat="1" applyFont="1" applyFill="1" applyBorder="1" applyAlignment="1">
      <alignment horizontal="right" indent="2"/>
    </xf>
    <xf numFmtId="3" fontId="2" fillId="2" borderId="8" xfId="0" applyNumberFormat="1" applyFont="1" applyFill="1" applyBorder="1" applyAlignment="1">
      <alignment horizontal="right" indent="2"/>
    </xf>
    <xf numFmtId="10" fontId="2" fillId="3" borderId="8" xfId="0" applyNumberFormat="1" applyFont="1" applyFill="1" applyBorder="1" applyAlignment="1">
      <alignment horizontal="right" indent="2"/>
    </xf>
    <xf numFmtId="165" fontId="2" fillId="2" borderId="8" xfId="0" applyNumberFormat="1" applyFont="1" applyFill="1" applyBorder="1" applyAlignment="1">
      <alignment horizontal="right" indent="2"/>
    </xf>
    <xf numFmtId="0" fontId="7" fillId="4" borderId="8" xfId="0" applyFont="1" applyFill="1" applyBorder="1" applyAlignment="1">
      <alignment horizontal="left"/>
    </xf>
    <xf numFmtId="4" fontId="7" fillId="4" borderId="8" xfId="0" applyNumberFormat="1" applyFont="1" applyFill="1" applyBorder="1" applyAlignment="1">
      <alignment horizontal="right" indent="2"/>
    </xf>
    <xf numFmtId="3" fontId="7" fillId="4" borderId="8" xfId="0" applyNumberFormat="1" applyFont="1" applyFill="1" applyBorder="1" applyAlignment="1">
      <alignment horizontal="right" indent="2"/>
    </xf>
    <xf numFmtId="10" fontId="2" fillId="2" borderId="8" xfId="0" applyNumberFormat="1" applyFont="1" applyFill="1" applyBorder="1" applyAlignment="1">
      <alignment horizontal="right" indent="2"/>
    </xf>
    <xf numFmtId="165" fontId="2" fillId="2" borderId="3" xfId="0" applyNumberFormat="1" applyFont="1" applyFill="1" applyBorder="1" applyAlignment="1">
      <alignment horizontal="right" indent="2"/>
    </xf>
  </cellXfs>
  <cellStyles count="5">
    <cellStyle name="Normal" xfId="0" builtinId="0"/>
    <cellStyle name="Normal_Book4 2" xfId="4"/>
    <cellStyle name="Normal_Book5 2" xfId="3"/>
    <cellStyle name="Normal_Sector Profile VLookup_HOUCP" xfId="1"/>
    <cellStyle name="Percent 3 3 7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NBSIX!$F$13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NBSIX!$E$14:$E$24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NBSIX!$F$14:$F$24</c:f>
              <c:numCache>
                <c:formatCode>0.000</c:formatCode>
                <c:ptCount val="11"/>
                <c:pt idx="0">
                  <c:v>5.1631067931344803E-2</c:v>
                </c:pt>
                <c:pt idx="1">
                  <c:v>9.452698847287716E-2</c:v>
                </c:pt>
                <c:pt idx="2">
                  <c:v>0.1524475605453193</c:v>
                </c:pt>
                <c:pt idx="3">
                  <c:v>0.31798274469268673</c:v>
                </c:pt>
                <c:pt idx="4">
                  <c:v>0.48978379146721129</c:v>
                </c:pt>
                <c:pt idx="5">
                  <c:v>0.53988584714551968</c:v>
                </c:pt>
                <c:pt idx="6">
                  <c:v>1.3789130907801539</c:v>
                </c:pt>
                <c:pt idx="7">
                  <c:v>0.53148660934207403</c:v>
                </c:pt>
                <c:pt idx="8">
                  <c:v>0.61341425377071523</c:v>
                </c:pt>
                <c:pt idx="9">
                  <c:v>0.3730129801836059</c:v>
                </c:pt>
                <c:pt idx="10">
                  <c:v>0.56815143890211817</c:v>
                </c:pt>
              </c:numCache>
            </c:numRef>
          </c:val>
        </c:ser>
        <c:ser>
          <c:idx val="1"/>
          <c:order val="1"/>
          <c:tx>
            <c:strRef>
              <c:f>NBSIX!$G$13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NBSIX!$E$14:$E$24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NBSIX!$G$14:$G$24</c:f>
              <c:numCache>
                <c:formatCode>0.000</c:formatCode>
                <c:ptCount val="11"/>
                <c:pt idx="0">
                  <c:v>2.3062687079547731E-2</c:v>
                </c:pt>
                <c:pt idx="1">
                  <c:v>0.1202014998773106</c:v>
                </c:pt>
                <c:pt idx="2">
                  <c:v>0.28423582329611569</c:v>
                </c:pt>
                <c:pt idx="3">
                  <c:v>0.55199783133138758</c:v>
                </c:pt>
                <c:pt idx="4">
                  <c:v>0.79566777171943082</c:v>
                </c:pt>
                <c:pt idx="5">
                  <c:v>0.89059970641539066</c:v>
                </c:pt>
                <c:pt idx="6">
                  <c:v>0.76652644917813151</c:v>
                </c:pt>
                <c:pt idx="7">
                  <c:v>0.44217004280291622</c:v>
                </c:pt>
                <c:pt idx="8">
                  <c:v>0.57934744814972761</c:v>
                </c:pt>
                <c:pt idx="9">
                  <c:v>0.92667732280286041</c:v>
                </c:pt>
                <c:pt idx="10">
                  <c:v>0.66103963404342714</c:v>
                </c:pt>
              </c:numCache>
            </c:numRef>
          </c:val>
        </c:ser>
        <c:ser>
          <c:idx val="2"/>
          <c:order val="2"/>
          <c:tx>
            <c:strRef>
              <c:f>NBSIX!$H$13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NBSIX!$E$14:$E$24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NBSIX!$H$14:$H$24</c:f>
              <c:numCache>
                <c:formatCode>0.000</c:formatCode>
                <c:ptCount val="11"/>
                <c:pt idx="0">
                  <c:v>2.8568380851797082E-2</c:v>
                </c:pt>
                <c:pt idx="1">
                  <c:v>-2.5674511404433401E-2</c:v>
                </c:pt>
                <c:pt idx="2">
                  <c:v>-0.13178826275079639</c:v>
                </c:pt>
                <c:pt idx="3">
                  <c:v>-0.23401508663870091</c:v>
                </c:pt>
                <c:pt idx="4">
                  <c:v>-0.30588398025221952</c:v>
                </c:pt>
                <c:pt idx="5">
                  <c:v>-0.35071385926987109</c:v>
                </c:pt>
                <c:pt idx="6">
                  <c:v>0.61238664160202305</c:v>
                </c:pt>
                <c:pt idx="7">
                  <c:v>8.9316566539157816E-2</c:v>
                </c:pt>
                <c:pt idx="8">
                  <c:v>3.4066805620987628E-2</c:v>
                </c:pt>
                <c:pt idx="9">
                  <c:v>-0.55366434261925446</c:v>
                </c:pt>
                <c:pt idx="10">
                  <c:v>-9.2888195141308971E-2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65078144"/>
        <c:axId val="165079680"/>
      </c:barChart>
      <c:catAx>
        <c:axId val="165078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65079680"/>
        <c:crossesAt val="0"/>
        <c:auto val="1"/>
        <c:lblAlgn val="ctr"/>
        <c:lblOffset val="100"/>
        <c:noMultiLvlLbl val="0"/>
      </c:catAx>
      <c:valAx>
        <c:axId val="1650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6507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ILSURSCO!$F$13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ILSURSCO!$E$14:$E$24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ILSURSCO!$F$14:$F$24</c:f>
              <c:numCache>
                <c:formatCode>0.000</c:formatCode>
                <c:ptCount val="11"/>
                <c:pt idx="0">
                  <c:v>3.5028798287032113E-2</c:v>
                </c:pt>
                <c:pt idx="1">
                  <c:v>7.980343915654288E-2</c:v>
                </c:pt>
                <c:pt idx="2">
                  <c:v>0.16498783105963519</c:v>
                </c:pt>
                <c:pt idx="3">
                  <c:v>0.45691578154530549</c:v>
                </c:pt>
                <c:pt idx="4">
                  <c:v>0.58392641482522467</c:v>
                </c:pt>
                <c:pt idx="5">
                  <c:v>0.88470721331197755</c:v>
                </c:pt>
                <c:pt idx="6">
                  <c:v>1.3443353058292771</c:v>
                </c:pt>
                <c:pt idx="7">
                  <c:v>0.61701129671749211</c:v>
                </c:pt>
                <c:pt idx="8">
                  <c:v>0.63325469533827228</c:v>
                </c:pt>
                <c:pt idx="9">
                  <c:v>0.39136642679645922</c:v>
                </c:pt>
                <c:pt idx="10">
                  <c:v>0.42526545019313899</c:v>
                </c:pt>
              </c:numCache>
            </c:numRef>
          </c:val>
        </c:ser>
        <c:ser>
          <c:idx val="1"/>
          <c:order val="1"/>
          <c:tx>
            <c:strRef>
              <c:f>ILSURSCO!$G$13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ILSURSCO!$E$14:$E$24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ILSURSCO!$G$14:$G$24</c:f>
              <c:numCache>
                <c:formatCode>0.000</c:formatCode>
                <c:ptCount val="11"/>
                <c:pt idx="0">
                  <c:v>2.30626870795477E-2</c:v>
                </c:pt>
                <c:pt idx="1">
                  <c:v>0.12020149987731051</c:v>
                </c:pt>
                <c:pt idx="2">
                  <c:v>0.28423582329611552</c:v>
                </c:pt>
                <c:pt idx="3">
                  <c:v>0.5519978313313868</c:v>
                </c:pt>
                <c:pt idx="4">
                  <c:v>0.79566777171942982</c:v>
                </c:pt>
                <c:pt idx="5">
                  <c:v>0.89059970641538899</c:v>
                </c:pt>
                <c:pt idx="6">
                  <c:v>0.76652644917813051</c:v>
                </c:pt>
                <c:pt idx="7">
                  <c:v>0.44217004280291572</c:v>
                </c:pt>
                <c:pt idx="8">
                  <c:v>0.57934744814972716</c:v>
                </c:pt>
                <c:pt idx="9">
                  <c:v>0.92667732280285975</c:v>
                </c:pt>
                <c:pt idx="10">
                  <c:v>0.6610396340434268</c:v>
                </c:pt>
              </c:numCache>
            </c:numRef>
          </c:val>
        </c:ser>
        <c:ser>
          <c:idx val="2"/>
          <c:order val="2"/>
          <c:tx>
            <c:strRef>
              <c:f>ILSURSCO!$H$13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ILSURSCO!$E$14:$E$24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ILSURSCO!$H$14:$H$24</c:f>
              <c:numCache>
                <c:formatCode>0.000</c:formatCode>
                <c:ptCount val="11"/>
                <c:pt idx="0">
                  <c:v>1.196611120748442E-2</c:v>
                </c:pt>
                <c:pt idx="1">
                  <c:v>-4.0398060720767577E-2</c:v>
                </c:pt>
                <c:pt idx="2">
                  <c:v>-0.1192479922364803</c:v>
                </c:pt>
                <c:pt idx="3">
                  <c:v>-9.5082049786081313E-2</c:v>
                </c:pt>
                <c:pt idx="4">
                  <c:v>-0.21174135689420501</c:v>
                </c:pt>
                <c:pt idx="5">
                  <c:v>-5.8924931034116668E-3</c:v>
                </c:pt>
                <c:pt idx="6">
                  <c:v>0.57780885665114634</c:v>
                </c:pt>
                <c:pt idx="7">
                  <c:v>0.17484125391457639</c:v>
                </c:pt>
                <c:pt idx="8">
                  <c:v>5.3907247188545122E-2</c:v>
                </c:pt>
                <c:pt idx="9">
                  <c:v>-0.53531089600640047</c:v>
                </c:pt>
                <c:pt idx="10">
                  <c:v>-0.23577418385028781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69235968"/>
        <c:axId val="169237504"/>
      </c:barChart>
      <c:catAx>
        <c:axId val="169235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69237504"/>
        <c:crossesAt val="0"/>
        <c:auto val="1"/>
        <c:lblAlgn val="ctr"/>
        <c:lblOffset val="100"/>
        <c:noMultiLvlLbl val="0"/>
      </c:catAx>
      <c:valAx>
        <c:axId val="16923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6923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NRCO!$F$13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NRCO!$E$14:$E$24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NRCO!$F$14:$F$24</c:f>
              <c:numCache>
                <c:formatCode>0.000</c:formatCode>
                <c:ptCount val="11"/>
                <c:pt idx="0">
                  <c:v>3.9193178259419099E-2</c:v>
                </c:pt>
                <c:pt idx="1">
                  <c:v>0.14696670613492291</c:v>
                </c:pt>
                <c:pt idx="2">
                  <c:v>0.15444195701450539</c:v>
                </c:pt>
                <c:pt idx="3">
                  <c:v>0.42790668253771852</c:v>
                </c:pt>
                <c:pt idx="4">
                  <c:v>0.64577967067581166</c:v>
                </c:pt>
                <c:pt idx="5">
                  <c:v>0.95747263339031985</c:v>
                </c:pt>
                <c:pt idx="6">
                  <c:v>1.2468010317492511</c:v>
                </c:pt>
                <c:pt idx="7">
                  <c:v>0.50446966208150479</c:v>
                </c:pt>
                <c:pt idx="8">
                  <c:v>0.80393863903148566</c:v>
                </c:pt>
                <c:pt idx="9">
                  <c:v>0.53939087077625925</c:v>
                </c:pt>
                <c:pt idx="10">
                  <c:v>0.32001936292593741</c:v>
                </c:pt>
              </c:numCache>
            </c:numRef>
          </c:val>
        </c:ser>
        <c:ser>
          <c:idx val="1"/>
          <c:order val="1"/>
          <c:tx>
            <c:strRef>
              <c:f>NRCO!$G$13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NRCO!$E$14:$E$24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NRCO!$G$14:$G$24</c:f>
              <c:numCache>
                <c:formatCode>0.000</c:formatCode>
                <c:ptCount val="11"/>
                <c:pt idx="0">
                  <c:v>2.30626870795477E-2</c:v>
                </c:pt>
                <c:pt idx="1">
                  <c:v>0.12020149987731051</c:v>
                </c:pt>
                <c:pt idx="2">
                  <c:v>0.28423582329611552</c:v>
                </c:pt>
                <c:pt idx="3">
                  <c:v>0.55199783133138669</c:v>
                </c:pt>
                <c:pt idx="4">
                  <c:v>0.79566777171942982</c:v>
                </c:pt>
                <c:pt idx="5">
                  <c:v>0.8905997064153891</c:v>
                </c:pt>
                <c:pt idx="6">
                  <c:v>0.76652644917813051</c:v>
                </c:pt>
                <c:pt idx="7">
                  <c:v>0.44217004280291572</c:v>
                </c:pt>
                <c:pt idx="8">
                  <c:v>0.57934744814972705</c:v>
                </c:pt>
                <c:pt idx="9">
                  <c:v>0.92667732280285942</c:v>
                </c:pt>
                <c:pt idx="10">
                  <c:v>0.66103963404342658</c:v>
                </c:pt>
              </c:numCache>
            </c:numRef>
          </c:val>
        </c:ser>
        <c:ser>
          <c:idx val="2"/>
          <c:order val="2"/>
          <c:tx>
            <c:strRef>
              <c:f>NRCO!$H$13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NRCO!$E$14:$E$24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NRCO!$H$14:$H$24</c:f>
              <c:numCache>
                <c:formatCode>0.000</c:formatCode>
                <c:ptCount val="11"/>
                <c:pt idx="0">
                  <c:v>1.6130491179871399E-2</c:v>
                </c:pt>
                <c:pt idx="1">
                  <c:v>2.6765206257612442E-2</c:v>
                </c:pt>
                <c:pt idx="2">
                  <c:v>-0.12979386628161019</c:v>
                </c:pt>
                <c:pt idx="3">
                  <c:v>-0.1240911487936681</c:v>
                </c:pt>
                <c:pt idx="4">
                  <c:v>-0.14988810104361799</c:v>
                </c:pt>
                <c:pt idx="5">
                  <c:v>6.6872926974930746E-2</c:v>
                </c:pt>
                <c:pt idx="6">
                  <c:v>0.48027458257112082</c:v>
                </c:pt>
                <c:pt idx="7">
                  <c:v>6.2299619278589118E-2</c:v>
                </c:pt>
                <c:pt idx="8">
                  <c:v>0.22459119088175869</c:v>
                </c:pt>
                <c:pt idx="9">
                  <c:v>-0.38728645202660023</c:v>
                </c:pt>
                <c:pt idx="10">
                  <c:v>-0.34102027111748912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69301888"/>
        <c:axId val="169303424"/>
      </c:barChart>
      <c:catAx>
        <c:axId val="169301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69303424"/>
        <c:crossesAt val="0"/>
        <c:auto val="1"/>
        <c:lblAlgn val="ctr"/>
        <c:lblOffset val="100"/>
        <c:noMultiLvlLbl val="0"/>
      </c:catAx>
      <c:valAx>
        <c:axId val="16930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6930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MN!$F$13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MN!$E$14:$E$24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MN!$F$14:$F$24</c:f>
              <c:numCache>
                <c:formatCode>0.000</c:formatCode>
                <c:ptCount val="11"/>
                <c:pt idx="0">
                  <c:v>1.862912294951791E-2</c:v>
                </c:pt>
                <c:pt idx="1">
                  <c:v>0.10208517137011761</c:v>
                </c:pt>
                <c:pt idx="2">
                  <c:v>0.29972000325584219</c:v>
                </c:pt>
                <c:pt idx="3">
                  <c:v>0.54678883200551098</c:v>
                </c:pt>
                <c:pt idx="4">
                  <c:v>0.80387250726791892</c:v>
                </c:pt>
                <c:pt idx="5">
                  <c:v>0.84047447299307665</c:v>
                </c:pt>
                <c:pt idx="6">
                  <c:v>0.81993479051984808</c:v>
                </c:pt>
                <c:pt idx="7">
                  <c:v>0.42776722048001792</c:v>
                </c:pt>
                <c:pt idx="8">
                  <c:v>0.59772622331803338</c:v>
                </c:pt>
                <c:pt idx="9">
                  <c:v>0.92366769579227981</c:v>
                </c:pt>
                <c:pt idx="10">
                  <c:v>0.67337536594228542</c:v>
                </c:pt>
              </c:numCache>
            </c:numRef>
          </c:val>
        </c:ser>
        <c:ser>
          <c:idx val="1"/>
          <c:order val="1"/>
          <c:tx>
            <c:strRef>
              <c:f>MN!$G$13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MN!$E$14:$E$24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MN!$G$14:$G$24</c:f>
              <c:numCache>
                <c:formatCode>0.000</c:formatCode>
                <c:ptCount val="11"/>
                <c:pt idx="0">
                  <c:v>2.3062687079547631E-2</c:v>
                </c:pt>
                <c:pt idx="1">
                  <c:v>0.1202014998773101</c:v>
                </c:pt>
                <c:pt idx="2">
                  <c:v>0.28423582329611452</c:v>
                </c:pt>
                <c:pt idx="3">
                  <c:v>0.55199783133138525</c:v>
                </c:pt>
                <c:pt idx="4">
                  <c:v>0.79566777171942737</c:v>
                </c:pt>
                <c:pt idx="5">
                  <c:v>0.89059970641538699</c:v>
                </c:pt>
                <c:pt idx="6">
                  <c:v>0.76652644917812818</c:v>
                </c:pt>
                <c:pt idx="7">
                  <c:v>0.44217004280291389</c:v>
                </c:pt>
                <c:pt idx="8">
                  <c:v>0.5793474481497245</c:v>
                </c:pt>
                <c:pt idx="9">
                  <c:v>0.92667732280285586</c:v>
                </c:pt>
                <c:pt idx="10">
                  <c:v>0.66103963404342381</c:v>
                </c:pt>
              </c:numCache>
            </c:numRef>
          </c:val>
        </c:ser>
        <c:ser>
          <c:idx val="2"/>
          <c:order val="2"/>
          <c:tx>
            <c:strRef>
              <c:f>MN!$H$13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MN!$E$14:$E$24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MN!$H$14:$H$24</c:f>
              <c:numCache>
                <c:formatCode>0.000</c:formatCode>
                <c:ptCount val="11"/>
                <c:pt idx="0">
                  <c:v>-4.433564130029724E-3</c:v>
                </c:pt>
                <c:pt idx="1">
                  <c:v>-1.8116328507192501E-2</c:v>
                </c:pt>
                <c:pt idx="2">
                  <c:v>1.5484179959727619E-2</c:v>
                </c:pt>
                <c:pt idx="3">
                  <c:v>-5.2089993258740419E-3</c:v>
                </c:pt>
                <c:pt idx="4">
                  <c:v>8.2047355484917706E-3</c:v>
                </c:pt>
                <c:pt idx="5">
                  <c:v>-5.0125233422310338E-2</c:v>
                </c:pt>
                <c:pt idx="6">
                  <c:v>5.3408341341719789E-2</c:v>
                </c:pt>
                <c:pt idx="7">
                  <c:v>-1.440282232289603E-2</c:v>
                </c:pt>
                <c:pt idx="8">
                  <c:v>1.8378775168308881E-2</c:v>
                </c:pt>
                <c:pt idx="9">
                  <c:v>-3.0096270105759442E-3</c:v>
                </c:pt>
                <c:pt idx="10">
                  <c:v>1.23357318988615E-2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68995072"/>
        <c:axId val="169013248"/>
      </c:barChart>
      <c:catAx>
        <c:axId val="168995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69013248"/>
        <c:crossesAt val="0"/>
        <c:auto val="1"/>
        <c:lblAlgn val="ctr"/>
        <c:lblOffset val="100"/>
        <c:noMultiLvlLbl val="0"/>
      </c:catAx>
      <c:valAx>
        <c:axId val="16901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6899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NYCERSMO!$F$13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NYCERSMO!$E$14:$E$24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NYCERSMO!$F$14:$F$24</c:f>
              <c:numCache>
                <c:formatCode>0.000</c:formatCode>
                <c:ptCount val="11"/>
                <c:pt idx="0">
                  <c:v>4.0257596297645477E-2</c:v>
                </c:pt>
                <c:pt idx="1">
                  <c:v>0.1653560322570834</c:v>
                </c:pt>
                <c:pt idx="2">
                  <c:v>0.25883385931990738</c:v>
                </c:pt>
                <c:pt idx="3">
                  <c:v>0.46372218582941582</c:v>
                </c:pt>
                <c:pt idx="4">
                  <c:v>0.58318158532649811</c:v>
                </c:pt>
                <c:pt idx="5">
                  <c:v>0.71729655232551337</c:v>
                </c:pt>
                <c:pt idx="6">
                  <c:v>0.89369093227799812</c:v>
                </c:pt>
                <c:pt idx="7">
                  <c:v>0.80860257458431795</c:v>
                </c:pt>
                <c:pt idx="8">
                  <c:v>0.71344462131230335</c:v>
                </c:pt>
                <c:pt idx="9">
                  <c:v>0.32455540648926751</c:v>
                </c:pt>
                <c:pt idx="10">
                  <c:v>-0.17788157293290391</c:v>
                </c:pt>
              </c:numCache>
            </c:numRef>
          </c:val>
        </c:ser>
        <c:ser>
          <c:idx val="1"/>
          <c:order val="1"/>
          <c:tx>
            <c:strRef>
              <c:f>NYCERSMO!$G$13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NYCERSMO!$E$14:$E$24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NYCERSMO!$G$14:$G$24</c:f>
              <c:numCache>
                <c:formatCode>0.000</c:formatCode>
                <c:ptCount val="11"/>
                <c:pt idx="0">
                  <c:v>5.2911793235830847E-2</c:v>
                </c:pt>
                <c:pt idx="1">
                  <c:v>0.16909537438061331</c:v>
                </c:pt>
                <c:pt idx="2">
                  <c:v>0.26983870563441448</c:v>
                </c:pt>
                <c:pt idx="3">
                  <c:v>0.45358105206333771</c:v>
                </c:pt>
                <c:pt idx="4">
                  <c:v>0.59511950823715798</c:v>
                </c:pt>
                <c:pt idx="5">
                  <c:v>0.73885952027588875</c:v>
                </c:pt>
                <c:pt idx="6">
                  <c:v>0.84579998779780508</c:v>
                </c:pt>
                <c:pt idx="7">
                  <c:v>0.80851585467987075</c:v>
                </c:pt>
                <c:pt idx="8">
                  <c:v>0.71064813864344845</c:v>
                </c:pt>
                <c:pt idx="9">
                  <c:v>0.32045648632013007</c:v>
                </c:pt>
                <c:pt idx="10">
                  <c:v>-0.18096227286756381</c:v>
                </c:pt>
              </c:numCache>
            </c:numRef>
          </c:val>
        </c:ser>
        <c:ser>
          <c:idx val="2"/>
          <c:order val="2"/>
          <c:tx>
            <c:strRef>
              <c:f>NYCERSMO!$H$13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NYCERSMO!$E$14:$E$24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NYCERSMO!$H$14:$H$24</c:f>
              <c:numCache>
                <c:formatCode>0.000</c:formatCode>
                <c:ptCount val="11"/>
                <c:pt idx="0">
                  <c:v>-1.26541969381854E-2</c:v>
                </c:pt>
                <c:pt idx="1">
                  <c:v>-3.7393421235299429E-3</c:v>
                </c:pt>
                <c:pt idx="2">
                  <c:v>-1.100484631450699E-2</c:v>
                </c:pt>
                <c:pt idx="3">
                  <c:v>1.014113376607817E-2</c:v>
                </c:pt>
                <c:pt idx="4">
                  <c:v>-1.193792291065965E-2</c:v>
                </c:pt>
                <c:pt idx="5">
                  <c:v>-2.1562967950375489E-2</c:v>
                </c:pt>
                <c:pt idx="6">
                  <c:v>4.7890944480192932E-2</c:v>
                </c:pt>
                <c:pt idx="7">
                  <c:v>8.6719904447418728E-5</c:v>
                </c:pt>
                <c:pt idx="8">
                  <c:v>2.7964826688549049E-3</c:v>
                </c:pt>
                <c:pt idx="9">
                  <c:v>4.0989201691373767E-3</c:v>
                </c:pt>
                <c:pt idx="10">
                  <c:v>3.0806999346599251E-3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69113856"/>
        <c:axId val="169123840"/>
      </c:barChart>
      <c:catAx>
        <c:axId val="1691138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69123840"/>
        <c:crossesAt val="0"/>
        <c:auto val="1"/>
        <c:lblAlgn val="ctr"/>
        <c:lblOffset val="100"/>
        <c:noMultiLvlLbl val="0"/>
      </c:catAx>
      <c:valAx>
        <c:axId val="16912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6911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DAI!$F$13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DAI!$F$14:$F$24</c:f>
              <c:numCache>
                <c:formatCode>0.000</c:formatCode>
                <c:ptCount val="11"/>
                <c:pt idx="0">
                  <c:v>5.9017151102731383E-2</c:v>
                </c:pt>
                <c:pt idx="1">
                  <c:v>7.161607033775258E-2</c:v>
                </c:pt>
                <c:pt idx="2">
                  <c:v>0.12695999911881711</c:v>
                </c:pt>
                <c:pt idx="3">
                  <c:v>0.27175146331569938</c:v>
                </c:pt>
                <c:pt idx="4">
                  <c:v>0.45571107124933691</c:v>
                </c:pt>
                <c:pt idx="5">
                  <c:v>0.29627500269099011</c:v>
                </c:pt>
                <c:pt idx="6">
                  <c:v>1.2289361062421349</c:v>
                </c:pt>
                <c:pt idx="7">
                  <c:v>0.58335177162877871</c:v>
                </c:pt>
                <c:pt idx="8">
                  <c:v>0.63941241161295692</c:v>
                </c:pt>
                <c:pt idx="9">
                  <c:v>0.67682910613191127</c:v>
                </c:pt>
                <c:pt idx="10">
                  <c:v>0.68047177491283306</c:v>
                </c:pt>
              </c:numCache>
            </c:numRef>
          </c:val>
        </c:ser>
        <c:ser>
          <c:idx val="1"/>
          <c:order val="1"/>
          <c:tx>
            <c:strRef>
              <c:f>DAI!$G$13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DAI!$G$14:$G$24</c:f>
              <c:numCache>
                <c:formatCode>0.000</c:formatCode>
                <c:ptCount val="11"/>
                <c:pt idx="0">
                  <c:v>2.3062687079547669E-2</c:v>
                </c:pt>
                <c:pt idx="1">
                  <c:v>0.1202014998773102</c:v>
                </c:pt>
                <c:pt idx="2">
                  <c:v>0.28423582329611502</c:v>
                </c:pt>
                <c:pt idx="3">
                  <c:v>0.55199783133138614</c:v>
                </c:pt>
                <c:pt idx="4">
                  <c:v>0.79566777171942882</c:v>
                </c:pt>
                <c:pt idx="5">
                  <c:v>0.89059970641538821</c:v>
                </c:pt>
                <c:pt idx="6">
                  <c:v>0.7665264491781294</c:v>
                </c:pt>
                <c:pt idx="7">
                  <c:v>0.44217004280291478</c:v>
                </c:pt>
                <c:pt idx="8">
                  <c:v>0.57934744814972572</c:v>
                </c:pt>
                <c:pt idx="9">
                  <c:v>0.92667732280285764</c:v>
                </c:pt>
                <c:pt idx="10">
                  <c:v>0.66103963404342514</c:v>
                </c:pt>
              </c:numCache>
            </c:numRef>
          </c:val>
        </c:ser>
        <c:ser>
          <c:idx val="2"/>
          <c:order val="2"/>
          <c:tx>
            <c:strRef>
              <c:f>DAI!$H$13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DAI!$H$14:$H$24</c:f>
              <c:numCache>
                <c:formatCode>0.000</c:formatCode>
                <c:ptCount val="11"/>
                <c:pt idx="0">
                  <c:v>3.5954464023183717E-2</c:v>
                </c:pt>
                <c:pt idx="1">
                  <c:v>-4.8585429539557662E-2</c:v>
                </c:pt>
                <c:pt idx="2">
                  <c:v>-0.15727582417729791</c:v>
                </c:pt>
                <c:pt idx="3">
                  <c:v>-0.28024636801568681</c:v>
                </c:pt>
                <c:pt idx="4">
                  <c:v>-0.33995670047009202</c:v>
                </c:pt>
                <c:pt idx="5">
                  <c:v>-0.59432470372439805</c:v>
                </c:pt>
                <c:pt idx="6">
                  <c:v>0.46240965706400622</c:v>
                </c:pt>
                <c:pt idx="7">
                  <c:v>0.1411817288258638</c:v>
                </c:pt>
                <c:pt idx="8">
                  <c:v>6.0064963463231202E-2</c:v>
                </c:pt>
                <c:pt idx="9">
                  <c:v>-0.24984821667094631</c:v>
                </c:pt>
                <c:pt idx="10">
                  <c:v>1.9432140869407921E-2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69425536"/>
        <c:axId val="169431424"/>
      </c:barChart>
      <c:catAx>
        <c:axId val="1694255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69431424"/>
        <c:crossesAt val="0"/>
        <c:auto val="1"/>
        <c:lblAlgn val="ctr"/>
        <c:lblOffset val="100"/>
        <c:noMultiLvlLbl val="0"/>
      </c:catAx>
      <c:valAx>
        <c:axId val="16943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6942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'DAI2'!$F$13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'DAI2'!$E$14:$E$24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'DAI2'!$F$14:$F$24</c:f>
              <c:numCache>
                <c:formatCode>0.000</c:formatCode>
                <c:ptCount val="11"/>
                <c:pt idx="0">
                  <c:v>5.0588937597683153E-2</c:v>
                </c:pt>
                <c:pt idx="1">
                  <c:v>7.9908784745594721E-2</c:v>
                </c:pt>
                <c:pt idx="2">
                  <c:v>0.12971867651584371</c:v>
                </c:pt>
                <c:pt idx="3">
                  <c:v>0.30157931631340251</c:v>
                </c:pt>
                <c:pt idx="4">
                  <c:v>0.48322833186085751</c:v>
                </c:pt>
                <c:pt idx="5">
                  <c:v>0.40037563273946841</c:v>
                </c:pt>
                <c:pt idx="6">
                  <c:v>1.703953171844786</c:v>
                </c:pt>
                <c:pt idx="7">
                  <c:v>0.54304537867157565</c:v>
                </c:pt>
                <c:pt idx="8">
                  <c:v>0.60835379024698244</c:v>
                </c:pt>
                <c:pt idx="9">
                  <c:v>0.62053004245848975</c:v>
                </c:pt>
                <c:pt idx="10">
                  <c:v>0.61182679076934077</c:v>
                </c:pt>
              </c:numCache>
            </c:numRef>
          </c:val>
        </c:ser>
        <c:ser>
          <c:idx val="1"/>
          <c:order val="1"/>
          <c:tx>
            <c:strRef>
              <c:f>'DAI2'!$G$13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'DAI2'!$E$14:$E$24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'DAI2'!$G$14:$G$24</c:f>
              <c:numCache>
                <c:formatCode>0.000</c:formatCode>
                <c:ptCount val="11"/>
                <c:pt idx="0">
                  <c:v>2.3062687079547631E-2</c:v>
                </c:pt>
                <c:pt idx="1">
                  <c:v>0.12020149987731001</c:v>
                </c:pt>
                <c:pt idx="2">
                  <c:v>0.28423582329611441</c:v>
                </c:pt>
                <c:pt idx="3">
                  <c:v>0.55199783133138491</c:v>
                </c:pt>
                <c:pt idx="4">
                  <c:v>0.79566777171942671</c:v>
                </c:pt>
                <c:pt idx="5">
                  <c:v>0.89059970641538633</c:v>
                </c:pt>
                <c:pt idx="6">
                  <c:v>0.76652644917812796</c:v>
                </c:pt>
                <c:pt idx="7">
                  <c:v>0.44217004280291411</c:v>
                </c:pt>
                <c:pt idx="8">
                  <c:v>0.57934744814972472</c:v>
                </c:pt>
                <c:pt idx="9">
                  <c:v>0.92667732280285586</c:v>
                </c:pt>
                <c:pt idx="10">
                  <c:v>0.6610396340434237</c:v>
                </c:pt>
              </c:numCache>
            </c:numRef>
          </c:val>
        </c:ser>
        <c:ser>
          <c:idx val="2"/>
          <c:order val="2"/>
          <c:tx>
            <c:strRef>
              <c:f>'DAI2'!$H$13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'DAI2'!$E$14:$E$24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'DAI2'!$H$14:$H$24</c:f>
              <c:numCache>
                <c:formatCode>0.000</c:formatCode>
                <c:ptCount val="11"/>
                <c:pt idx="0">
                  <c:v>2.752625051813553E-2</c:v>
                </c:pt>
                <c:pt idx="1">
                  <c:v>-4.0292715131715298E-2</c:v>
                </c:pt>
                <c:pt idx="2">
                  <c:v>-0.1545171467802707</c:v>
                </c:pt>
                <c:pt idx="3">
                  <c:v>-0.2504185150179824</c:v>
                </c:pt>
                <c:pt idx="4">
                  <c:v>-0.31243943985856909</c:v>
                </c:pt>
                <c:pt idx="5">
                  <c:v>-0.49022407367591792</c:v>
                </c:pt>
                <c:pt idx="6">
                  <c:v>0.93742672266665805</c:v>
                </c:pt>
                <c:pt idx="7">
                  <c:v>0.1008753358686616</c:v>
                </c:pt>
                <c:pt idx="8">
                  <c:v>2.900634209725772E-2</c:v>
                </c:pt>
                <c:pt idx="9">
                  <c:v>-0.30614728034436611</c:v>
                </c:pt>
                <c:pt idx="10">
                  <c:v>-4.9212843274082818E-2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0597376"/>
        <c:axId val="170599168"/>
      </c:barChart>
      <c:catAx>
        <c:axId val="170597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0599168"/>
        <c:crossesAt val="0"/>
        <c:auto val="1"/>
        <c:lblAlgn val="ctr"/>
        <c:lblOffset val="100"/>
        <c:noMultiLvlLbl val="0"/>
      </c:catAx>
      <c:valAx>
        <c:axId val="17059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05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MYCR!$F$13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MYCR!$E$14:$E$24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MYCR!$F$14:$F$24</c:f>
              <c:numCache>
                <c:formatCode>0.000</c:formatCode>
                <c:ptCount val="11"/>
                <c:pt idx="0">
                  <c:v>1.393817756930016E-2</c:v>
                </c:pt>
                <c:pt idx="1">
                  <c:v>0.10032938838008081</c:v>
                </c:pt>
                <c:pt idx="2">
                  <c:v>0.17449419453115231</c:v>
                </c:pt>
                <c:pt idx="3">
                  <c:v>0.47364036706763801</c:v>
                </c:pt>
                <c:pt idx="4">
                  <c:v>0.85704522903167468</c:v>
                </c:pt>
                <c:pt idx="5">
                  <c:v>0.90246935548033413</c:v>
                </c:pt>
                <c:pt idx="6">
                  <c:v>1.068398843396843</c:v>
                </c:pt>
                <c:pt idx="7">
                  <c:v>0.38325120624744391</c:v>
                </c:pt>
                <c:pt idx="8">
                  <c:v>0.61617866028426171</c:v>
                </c:pt>
                <c:pt idx="9">
                  <c:v>0.93874114306021395</c:v>
                </c:pt>
                <c:pt idx="10">
                  <c:v>1.7166068748283729</c:v>
                </c:pt>
              </c:numCache>
            </c:numRef>
          </c:val>
        </c:ser>
        <c:ser>
          <c:idx val="1"/>
          <c:order val="1"/>
          <c:tx>
            <c:strRef>
              <c:f>MYCR!$G$13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MYCR!$E$14:$E$24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MYCR!$G$14:$G$24</c:f>
              <c:numCache>
                <c:formatCode>0.000</c:formatCode>
                <c:ptCount val="11"/>
                <c:pt idx="0">
                  <c:v>1.2851613888106409E-2</c:v>
                </c:pt>
                <c:pt idx="1">
                  <c:v>8.7377528957631817E-2</c:v>
                </c:pt>
                <c:pt idx="2">
                  <c:v>0.23231903565376039</c:v>
                </c:pt>
                <c:pt idx="3">
                  <c:v>0.51204911231283767</c:v>
                </c:pt>
                <c:pt idx="4">
                  <c:v>0.80093722938182943</c:v>
                </c:pt>
                <c:pt idx="5">
                  <c:v>0.9733414982418308</c:v>
                </c:pt>
                <c:pt idx="6">
                  <c:v>0.96389412950185882</c:v>
                </c:pt>
                <c:pt idx="7">
                  <c:v>0.56873747518181061</c:v>
                </c:pt>
                <c:pt idx="8">
                  <c:v>0.91214502809977016</c:v>
                </c:pt>
                <c:pt idx="9">
                  <c:v>1.167278273199706</c:v>
                </c:pt>
                <c:pt idx="10">
                  <c:v>0.97731636796891885</c:v>
                </c:pt>
              </c:numCache>
            </c:numRef>
          </c:val>
        </c:ser>
        <c:ser>
          <c:idx val="2"/>
          <c:order val="2"/>
          <c:tx>
            <c:strRef>
              <c:f>MYCR!$H$13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MYCR!$E$14:$E$24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MYCR!$H$14:$H$24</c:f>
              <c:numCache>
                <c:formatCode>0.000</c:formatCode>
                <c:ptCount val="11"/>
                <c:pt idx="0">
                  <c:v>1.0865636811937559E-3</c:v>
                </c:pt>
                <c:pt idx="1">
                  <c:v>1.295185942244895E-2</c:v>
                </c:pt>
                <c:pt idx="2">
                  <c:v>-5.7824841122608127E-2</c:v>
                </c:pt>
                <c:pt idx="3">
                  <c:v>-3.8408745245199771E-2</c:v>
                </c:pt>
                <c:pt idx="4">
                  <c:v>5.6107999649845142E-2</c:v>
                </c:pt>
                <c:pt idx="5">
                  <c:v>-7.087214276149667E-2</c:v>
                </c:pt>
                <c:pt idx="6">
                  <c:v>0.1045047138949842</c:v>
                </c:pt>
                <c:pt idx="7">
                  <c:v>-0.18548626893436679</c:v>
                </c:pt>
                <c:pt idx="8">
                  <c:v>-0.29596636781550839</c:v>
                </c:pt>
                <c:pt idx="9">
                  <c:v>-0.22853713013949151</c:v>
                </c:pt>
                <c:pt idx="10">
                  <c:v>0.73929050685945386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1003264"/>
        <c:axId val="171025536"/>
      </c:barChart>
      <c:catAx>
        <c:axId val="171003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1025536"/>
        <c:crossesAt val="0"/>
        <c:auto val="1"/>
        <c:lblAlgn val="ctr"/>
        <c:lblOffset val="100"/>
        <c:noMultiLvlLbl val="0"/>
      </c:catAx>
      <c:valAx>
        <c:axId val="1710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100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NBSIU!$F$13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NBSIU!$E$14:$E$24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NBSIU!$F$14:$F$24</c:f>
              <c:numCache>
                <c:formatCode>0.000</c:formatCode>
                <c:ptCount val="11"/>
                <c:pt idx="0">
                  <c:v>5.1945140378260958E-2</c:v>
                </c:pt>
                <c:pt idx="1">
                  <c:v>0.1027898634411914</c:v>
                </c:pt>
                <c:pt idx="2">
                  <c:v>0.17385537764989009</c:v>
                </c:pt>
                <c:pt idx="3">
                  <c:v>0.31558488087021108</c:v>
                </c:pt>
                <c:pt idx="4">
                  <c:v>0.48850180460421128</c:v>
                </c:pt>
                <c:pt idx="5">
                  <c:v>0.43694587005278718</c:v>
                </c:pt>
                <c:pt idx="6">
                  <c:v>1.362376201285558</c:v>
                </c:pt>
                <c:pt idx="7">
                  <c:v>0.558214577802433</c:v>
                </c:pt>
                <c:pt idx="8">
                  <c:v>0.5650406798500377</c:v>
                </c:pt>
                <c:pt idx="9">
                  <c:v>0.43478815660779641</c:v>
                </c:pt>
                <c:pt idx="10">
                  <c:v>0.61150338051626019</c:v>
                </c:pt>
              </c:numCache>
            </c:numRef>
          </c:val>
        </c:ser>
        <c:ser>
          <c:idx val="1"/>
          <c:order val="1"/>
          <c:tx>
            <c:strRef>
              <c:f>NBSIU!$G$13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NBSIU!$E$14:$E$24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NBSIU!$G$14:$G$24</c:f>
              <c:numCache>
                <c:formatCode>0.000</c:formatCode>
                <c:ptCount val="11"/>
                <c:pt idx="0">
                  <c:v>2.3062687079547759E-2</c:v>
                </c:pt>
                <c:pt idx="1">
                  <c:v>0.1202014998773107</c:v>
                </c:pt>
                <c:pt idx="2">
                  <c:v>0.28423582329611602</c:v>
                </c:pt>
                <c:pt idx="3">
                  <c:v>0.55199783133138813</c:v>
                </c:pt>
                <c:pt idx="4">
                  <c:v>0.79566777171943159</c:v>
                </c:pt>
                <c:pt idx="5">
                  <c:v>0.89059970641539166</c:v>
                </c:pt>
                <c:pt idx="6">
                  <c:v>0.76652644917813251</c:v>
                </c:pt>
                <c:pt idx="7">
                  <c:v>0.44217004280291677</c:v>
                </c:pt>
                <c:pt idx="8">
                  <c:v>0.57934744814972838</c:v>
                </c:pt>
                <c:pt idx="9">
                  <c:v>0.9266773228028613</c:v>
                </c:pt>
                <c:pt idx="10">
                  <c:v>0.66103963404342791</c:v>
                </c:pt>
              </c:numCache>
            </c:numRef>
          </c:val>
        </c:ser>
        <c:ser>
          <c:idx val="2"/>
          <c:order val="2"/>
          <c:tx>
            <c:strRef>
              <c:f>NBSIU!$H$13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NBSIU!$E$14:$E$24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NBSIU!$H$14:$H$24</c:f>
              <c:numCache>
                <c:formatCode>0.000</c:formatCode>
                <c:ptCount val="11"/>
                <c:pt idx="0">
                  <c:v>2.8882453298713199E-2</c:v>
                </c:pt>
                <c:pt idx="1">
                  <c:v>-1.7411636436119291E-2</c:v>
                </c:pt>
                <c:pt idx="2">
                  <c:v>-0.1103804456462259</c:v>
                </c:pt>
                <c:pt idx="3">
                  <c:v>-0.23641295046117691</c:v>
                </c:pt>
                <c:pt idx="4">
                  <c:v>-0.30716596711522037</c:v>
                </c:pt>
                <c:pt idx="5">
                  <c:v>-0.45365383636260459</c:v>
                </c:pt>
                <c:pt idx="6">
                  <c:v>0.59584975210742597</c:v>
                </c:pt>
                <c:pt idx="7">
                  <c:v>0.1160445349995162</c:v>
                </c:pt>
                <c:pt idx="8">
                  <c:v>-1.430676829969069E-2</c:v>
                </c:pt>
                <c:pt idx="9">
                  <c:v>-0.49188916619506479</c:v>
                </c:pt>
                <c:pt idx="10">
                  <c:v>-4.9536253527167728E-2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1069440"/>
        <c:axId val="171070976"/>
      </c:barChart>
      <c:catAx>
        <c:axId val="171069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1070976"/>
        <c:crossesAt val="0"/>
        <c:auto val="1"/>
        <c:lblAlgn val="ctr"/>
        <c:lblOffset val="100"/>
        <c:noMultiLvlLbl val="0"/>
      </c:catAx>
      <c:valAx>
        <c:axId val="1710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10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UPS!$F$13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UPS!$E$14:$E$24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UPS!$F$14:$F$24</c:f>
              <c:numCache>
                <c:formatCode>0.000</c:formatCode>
                <c:ptCount val="11"/>
                <c:pt idx="0">
                  <c:v>4.7555995818293499E-2</c:v>
                </c:pt>
                <c:pt idx="1">
                  <c:v>4.0373150571775783E-2</c:v>
                </c:pt>
                <c:pt idx="2">
                  <c:v>0.14807312731001149</c:v>
                </c:pt>
                <c:pt idx="3">
                  <c:v>0.27893863700839122</c:v>
                </c:pt>
                <c:pt idx="4">
                  <c:v>0.45788301973762108</c:v>
                </c:pt>
                <c:pt idx="5">
                  <c:v>0.81378513580413259</c:v>
                </c:pt>
                <c:pt idx="6">
                  <c:v>1.249176060948183</c:v>
                </c:pt>
                <c:pt idx="7">
                  <c:v>0.56306022531617328</c:v>
                </c:pt>
                <c:pt idx="8">
                  <c:v>0.6531718418059218</c:v>
                </c:pt>
                <c:pt idx="9">
                  <c:v>0.58853086174284674</c:v>
                </c:pt>
                <c:pt idx="10">
                  <c:v>0.76091462544737087</c:v>
                </c:pt>
              </c:numCache>
            </c:numRef>
          </c:val>
        </c:ser>
        <c:ser>
          <c:idx val="1"/>
          <c:order val="1"/>
          <c:tx>
            <c:strRef>
              <c:f>UPS!$G$13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UPS!$E$14:$E$24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UPS!$G$14:$G$24</c:f>
              <c:numCache>
                <c:formatCode>0.000</c:formatCode>
                <c:ptCount val="11"/>
                <c:pt idx="0">
                  <c:v>1.117899666037515E-2</c:v>
                </c:pt>
                <c:pt idx="1">
                  <c:v>0.1011595815340916</c:v>
                </c:pt>
                <c:pt idx="2">
                  <c:v>0.29016987076403139</c:v>
                </c:pt>
                <c:pt idx="3">
                  <c:v>0.59291029052151045</c:v>
                </c:pt>
                <c:pt idx="4">
                  <c:v>0.87085813481386776</c:v>
                </c:pt>
                <c:pt idx="5">
                  <c:v>0.91920255293976472</c:v>
                </c:pt>
                <c:pt idx="6">
                  <c:v>0.72305265450294565</c:v>
                </c:pt>
                <c:pt idx="7">
                  <c:v>0.31283657805221332</c:v>
                </c:pt>
                <c:pt idx="8">
                  <c:v>0.55218581059387806</c:v>
                </c:pt>
                <c:pt idx="9">
                  <c:v>1.201812568162024</c:v>
                </c:pt>
                <c:pt idx="10">
                  <c:v>1.0186550831726831</c:v>
                </c:pt>
              </c:numCache>
            </c:numRef>
          </c:val>
        </c:ser>
        <c:ser>
          <c:idx val="2"/>
          <c:order val="2"/>
          <c:tx>
            <c:strRef>
              <c:f>UPS!$H$13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UPS!$E$14:$E$24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UPS!$H$14:$H$24</c:f>
              <c:numCache>
                <c:formatCode>0.000</c:formatCode>
                <c:ptCount val="11"/>
                <c:pt idx="0">
                  <c:v>3.6376999157918373E-2</c:v>
                </c:pt>
                <c:pt idx="1">
                  <c:v>-6.0786430962315841E-2</c:v>
                </c:pt>
                <c:pt idx="2">
                  <c:v>-0.1420967434540199</c:v>
                </c:pt>
                <c:pt idx="3">
                  <c:v>-0.31397165351311929</c:v>
                </c:pt>
                <c:pt idx="4">
                  <c:v>-0.41297511507624679</c:v>
                </c:pt>
                <c:pt idx="5">
                  <c:v>-0.105417417135632</c:v>
                </c:pt>
                <c:pt idx="6">
                  <c:v>0.52612340644523758</c:v>
                </c:pt>
                <c:pt idx="7">
                  <c:v>0.25022364726396013</c:v>
                </c:pt>
                <c:pt idx="8">
                  <c:v>0.10098603121204371</c:v>
                </c:pt>
                <c:pt idx="9">
                  <c:v>-0.61328170641917668</c:v>
                </c:pt>
                <c:pt idx="10">
                  <c:v>-0.25774045772531268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0774912"/>
        <c:axId val="170776448"/>
      </c:barChart>
      <c:catAx>
        <c:axId val="170774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0776448"/>
        <c:crossesAt val="0"/>
        <c:auto val="1"/>
        <c:lblAlgn val="ctr"/>
        <c:lblOffset val="100"/>
        <c:noMultiLvlLbl val="0"/>
      </c:catAx>
      <c:valAx>
        <c:axId val="1707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077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ZEN!$F$13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ZEN!$E$14:$E$24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ZEN!$F$14:$F$24</c:f>
              <c:numCache>
                <c:formatCode>0.000</c:formatCode>
                <c:ptCount val="11"/>
                <c:pt idx="0">
                  <c:v>5.0795471021819069E-2</c:v>
                </c:pt>
                <c:pt idx="1">
                  <c:v>7.4572071549368402E-2</c:v>
                </c:pt>
                <c:pt idx="2">
                  <c:v>0.1388024128017423</c:v>
                </c:pt>
                <c:pt idx="3">
                  <c:v>0.30305263584535452</c:v>
                </c:pt>
                <c:pt idx="4">
                  <c:v>0.442300590155635</c:v>
                </c:pt>
                <c:pt idx="5">
                  <c:v>0.5756716516679532</c:v>
                </c:pt>
                <c:pt idx="6">
                  <c:v>1.395140407395129</c:v>
                </c:pt>
                <c:pt idx="7">
                  <c:v>0.49410603648418128</c:v>
                </c:pt>
                <c:pt idx="8">
                  <c:v>0.55293589674359378</c:v>
                </c:pt>
                <c:pt idx="9">
                  <c:v>0.46296220640832408</c:v>
                </c:pt>
                <c:pt idx="10">
                  <c:v>0.62710298321257807</c:v>
                </c:pt>
              </c:numCache>
            </c:numRef>
          </c:val>
        </c:ser>
        <c:ser>
          <c:idx val="1"/>
          <c:order val="1"/>
          <c:tx>
            <c:strRef>
              <c:f>ZEN!$G$13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ZEN!$E$14:$E$24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ZEN!$G$14:$G$24</c:f>
              <c:numCache>
                <c:formatCode>0.000</c:formatCode>
                <c:ptCount val="11"/>
                <c:pt idx="0">
                  <c:v>2.3062687079547731E-2</c:v>
                </c:pt>
                <c:pt idx="1">
                  <c:v>0.1202014998773106</c:v>
                </c:pt>
                <c:pt idx="2">
                  <c:v>0.28423582329611569</c:v>
                </c:pt>
                <c:pt idx="3">
                  <c:v>0.5519978313313878</c:v>
                </c:pt>
                <c:pt idx="4">
                  <c:v>0.79566777171943126</c:v>
                </c:pt>
                <c:pt idx="5">
                  <c:v>0.89059970641539099</c:v>
                </c:pt>
                <c:pt idx="6">
                  <c:v>0.76652644917813184</c:v>
                </c:pt>
                <c:pt idx="7">
                  <c:v>0.44217004280291611</c:v>
                </c:pt>
                <c:pt idx="8">
                  <c:v>0.57934744814972738</c:v>
                </c:pt>
                <c:pt idx="9">
                  <c:v>0.92667732280286019</c:v>
                </c:pt>
                <c:pt idx="10">
                  <c:v>0.66103963404342714</c:v>
                </c:pt>
              </c:numCache>
            </c:numRef>
          </c:val>
        </c:ser>
        <c:ser>
          <c:idx val="2"/>
          <c:order val="2"/>
          <c:tx>
            <c:strRef>
              <c:f>ZEN!$H$13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ZEN!$E$14:$E$24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ZEN!$H$14:$H$24</c:f>
              <c:numCache>
                <c:formatCode>0.000</c:formatCode>
                <c:ptCount val="11"/>
                <c:pt idx="0">
                  <c:v>2.7732783942271341E-2</c:v>
                </c:pt>
                <c:pt idx="1">
                  <c:v>-4.5629428327942229E-2</c:v>
                </c:pt>
                <c:pt idx="2">
                  <c:v>-0.14543341049437339</c:v>
                </c:pt>
                <c:pt idx="3">
                  <c:v>-0.2489451954860333</c:v>
                </c:pt>
                <c:pt idx="4">
                  <c:v>-0.35336718156379621</c:v>
                </c:pt>
                <c:pt idx="5">
                  <c:v>-0.31492805474743779</c:v>
                </c:pt>
                <c:pt idx="6">
                  <c:v>0.62861395821699739</c:v>
                </c:pt>
                <c:pt idx="7">
                  <c:v>5.1935993681265218E-2</c:v>
                </c:pt>
                <c:pt idx="8">
                  <c:v>-2.6411551406133379E-2</c:v>
                </c:pt>
                <c:pt idx="9">
                  <c:v>-0.46371511639453622</c:v>
                </c:pt>
                <c:pt idx="10">
                  <c:v>-3.3936650830849069E-2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0840832"/>
        <c:axId val="170842368"/>
      </c:barChart>
      <c:catAx>
        <c:axId val="170840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0842368"/>
        <c:crossesAt val="0"/>
        <c:auto val="1"/>
        <c:lblAlgn val="ctr"/>
        <c:lblOffset val="100"/>
        <c:noMultiLvlLbl val="0"/>
      </c:catAx>
      <c:valAx>
        <c:axId val="1708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084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DAL!$F$13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DAL!$E$14:$E$24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DAL!$F$14:$F$24</c:f>
              <c:numCache>
                <c:formatCode>0.000</c:formatCode>
                <c:ptCount val="11"/>
                <c:pt idx="0">
                  <c:v>4.6928031723815593E-2</c:v>
                </c:pt>
                <c:pt idx="1">
                  <c:v>7.2393643851999465E-2</c:v>
                </c:pt>
                <c:pt idx="2">
                  <c:v>0.15015583882803171</c:v>
                </c:pt>
                <c:pt idx="3">
                  <c:v>0.35215547602746938</c:v>
                </c:pt>
                <c:pt idx="4">
                  <c:v>0.73577003050988343</c:v>
                </c:pt>
                <c:pt idx="5">
                  <c:v>0.98115820723286995</c:v>
                </c:pt>
                <c:pt idx="6">
                  <c:v>0.83431766235718441</c:v>
                </c:pt>
                <c:pt idx="7">
                  <c:v>0.18938861141633009</c:v>
                </c:pt>
                <c:pt idx="8">
                  <c:v>0.1989106647019451</c:v>
                </c:pt>
                <c:pt idx="9">
                  <c:v>0.1896019389656991</c:v>
                </c:pt>
                <c:pt idx="10">
                  <c:v>0.13162083192776769</c:v>
                </c:pt>
              </c:numCache>
            </c:numRef>
          </c:val>
        </c:ser>
        <c:ser>
          <c:idx val="1"/>
          <c:order val="1"/>
          <c:tx>
            <c:strRef>
              <c:f>DAL!$G$13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DAL!$E$14:$E$24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DAL!$G$14:$G$24</c:f>
              <c:numCache>
                <c:formatCode>0.000</c:formatCode>
                <c:ptCount val="11"/>
                <c:pt idx="0">
                  <c:v>6.6870230194634769E-2</c:v>
                </c:pt>
                <c:pt idx="1">
                  <c:v>5.8253008282101747E-2</c:v>
                </c:pt>
                <c:pt idx="2">
                  <c:v>0.146110424162509</c:v>
                </c:pt>
                <c:pt idx="3">
                  <c:v>0.37338938626910551</c:v>
                </c:pt>
                <c:pt idx="4">
                  <c:v>0.65810188710539619</c:v>
                </c:pt>
                <c:pt idx="5">
                  <c:v>0.82561046362382229</c:v>
                </c:pt>
                <c:pt idx="6">
                  <c:v>0.56538788463543888</c:v>
                </c:pt>
                <c:pt idx="7">
                  <c:v>0.23688880714513841</c:v>
                </c:pt>
                <c:pt idx="8">
                  <c:v>0.2344969473592636</c:v>
                </c:pt>
                <c:pt idx="9">
                  <c:v>0.30603824374111233</c:v>
                </c:pt>
                <c:pt idx="10">
                  <c:v>0.23442041457242091</c:v>
                </c:pt>
              </c:numCache>
            </c:numRef>
          </c:val>
        </c:ser>
        <c:ser>
          <c:idx val="2"/>
          <c:order val="2"/>
          <c:tx>
            <c:strRef>
              <c:f>DAL!$H$13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DAL!$E$14:$E$24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DAL!$H$14:$H$24</c:f>
              <c:numCache>
                <c:formatCode>0.000</c:formatCode>
                <c:ptCount val="11"/>
                <c:pt idx="0">
                  <c:v>-1.9942198470819211E-2</c:v>
                </c:pt>
                <c:pt idx="1">
                  <c:v>1.414063556989772E-2</c:v>
                </c:pt>
                <c:pt idx="2">
                  <c:v>4.0454146655226897E-3</c:v>
                </c:pt>
                <c:pt idx="3">
                  <c:v>-2.1233910241636011E-2</c:v>
                </c:pt>
                <c:pt idx="4">
                  <c:v>7.7668143404487244E-2</c:v>
                </c:pt>
                <c:pt idx="5">
                  <c:v>0.15554774360904769</c:v>
                </c:pt>
                <c:pt idx="6">
                  <c:v>0.26892977772174548</c:v>
                </c:pt>
                <c:pt idx="7">
                  <c:v>-4.7500195728808287E-2</c:v>
                </c:pt>
                <c:pt idx="8">
                  <c:v>-3.5586282657318558E-2</c:v>
                </c:pt>
                <c:pt idx="9">
                  <c:v>-0.1164363047754131</c:v>
                </c:pt>
                <c:pt idx="10">
                  <c:v>-0.10279958264465321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1127936"/>
        <c:axId val="171129472"/>
      </c:barChart>
      <c:catAx>
        <c:axId val="171127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1129472"/>
        <c:crossesAt val="0"/>
        <c:auto val="1"/>
        <c:lblAlgn val="ctr"/>
        <c:lblOffset val="100"/>
        <c:noMultiLvlLbl val="0"/>
      </c:catAx>
      <c:valAx>
        <c:axId val="1711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112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JNL!$F$13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JNL!$E$14:$E$24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JNL!$F$14:$F$24</c:f>
              <c:numCache>
                <c:formatCode>0.000</c:formatCode>
                <c:ptCount val="11"/>
                <c:pt idx="0">
                  <c:v>6.5026979756322587E-2</c:v>
                </c:pt>
                <c:pt idx="1">
                  <c:v>6.7033494161036419E-2</c:v>
                </c:pt>
                <c:pt idx="2">
                  <c:v>0.1189226651154376</c:v>
                </c:pt>
                <c:pt idx="3">
                  <c:v>0.2352118857155705</c:v>
                </c:pt>
                <c:pt idx="4">
                  <c:v>0.29873156503260251</c:v>
                </c:pt>
                <c:pt idx="5">
                  <c:v>0.63605546898584275</c:v>
                </c:pt>
                <c:pt idx="6">
                  <c:v>1.4329907250452469</c:v>
                </c:pt>
                <c:pt idx="7">
                  <c:v>0.51668029294850515</c:v>
                </c:pt>
                <c:pt idx="8">
                  <c:v>0.82168359460906049</c:v>
                </c:pt>
                <c:pt idx="9">
                  <c:v>0.37184225988527858</c:v>
                </c:pt>
                <c:pt idx="10">
                  <c:v>0.53947354370110168</c:v>
                </c:pt>
              </c:numCache>
            </c:numRef>
          </c:val>
        </c:ser>
        <c:ser>
          <c:idx val="1"/>
          <c:order val="1"/>
          <c:tx>
            <c:strRef>
              <c:f>JNL!$G$13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JNL!$E$14:$E$24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JNL!$G$14:$G$24</c:f>
              <c:numCache>
                <c:formatCode>0.000</c:formatCode>
                <c:ptCount val="11"/>
                <c:pt idx="0">
                  <c:v>2.3062687079547631E-2</c:v>
                </c:pt>
                <c:pt idx="1">
                  <c:v>0.1202014998773101</c:v>
                </c:pt>
                <c:pt idx="2">
                  <c:v>0.28423582329611452</c:v>
                </c:pt>
                <c:pt idx="3">
                  <c:v>0.55199783133138536</c:v>
                </c:pt>
                <c:pt idx="4">
                  <c:v>0.79566777171942737</c:v>
                </c:pt>
                <c:pt idx="5">
                  <c:v>0.89059970641538677</c:v>
                </c:pt>
                <c:pt idx="6">
                  <c:v>0.76652644917812851</c:v>
                </c:pt>
                <c:pt idx="7">
                  <c:v>0.44217004280291439</c:v>
                </c:pt>
                <c:pt idx="8">
                  <c:v>0.57934744814972539</c:v>
                </c:pt>
                <c:pt idx="9">
                  <c:v>0.92667732280285708</c:v>
                </c:pt>
                <c:pt idx="10">
                  <c:v>0.66103963404342492</c:v>
                </c:pt>
              </c:numCache>
            </c:numRef>
          </c:val>
        </c:ser>
        <c:ser>
          <c:idx val="2"/>
          <c:order val="2"/>
          <c:tx>
            <c:strRef>
              <c:f>JNL!$H$13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JNL!$E$14:$E$24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JNL!$H$14:$H$24</c:f>
              <c:numCache>
                <c:formatCode>0.000</c:formatCode>
                <c:ptCount val="11"/>
                <c:pt idx="0">
                  <c:v>4.196429267677497E-2</c:v>
                </c:pt>
                <c:pt idx="1">
                  <c:v>-5.316800571627367E-2</c:v>
                </c:pt>
                <c:pt idx="2">
                  <c:v>-0.16531315818067691</c:v>
                </c:pt>
                <c:pt idx="3">
                  <c:v>-0.31678594561581491</c:v>
                </c:pt>
                <c:pt idx="4">
                  <c:v>-0.49693620668682492</c:v>
                </c:pt>
                <c:pt idx="5">
                  <c:v>-0.25454423742954391</c:v>
                </c:pt>
                <c:pt idx="6">
                  <c:v>0.66646427586711843</c:v>
                </c:pt>
                <c:pt idx="7">
                  <c:v>7.4510250145590817E-2</c:v>
                </c:pt>
                <c:pt idx="8">
                  <c:v>0.2423361464593351</c:v>
                </c:pt>
                <c:pt idx="9">
                  <c:v>-0.55483506291757856</c:v>
                </c:pt>
                <c:pt idx="10">
                  <c:v>-0.1215660903423231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1181568"/>
        <c:axId val="171183104"/>
      </c:barChart>
      <c:catAx>
        <c:axId val="1711815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1183104"/>
        <c:crossesAt val="0"/>
        <c:auto val="1"/>
        <c:lblAlgn val="ctr"/>
        <c:lblOffset val="100"/>
        <c:noMultiLvlLbl val="0"/>
      </c:catAx>
      <c:valAx>
        <c:axId val="17118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118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LAW!$F$13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LAW!$E$14:$E$24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LAW!$F$14:$F$24</c:f>
              <c:numCache>
                <c:formatCode>0.000</c:formatCode>
                <c:ptCount val="11"/>
                <c:pt idx="0">
                  <c:v>5.4843488955701299E-2</c:v>
                </c:pt>
                <c:pt idx="1">
                  <c:v>8.4235760202030996E-2</c:v>
                </c:pt>
                <c:pt idx="2">
                  <c:v>0.14532613076677739</c:v>
                </c:pt>
                <c:pt idx="3">
                  <c:v>0.41346246338587123</c:v>
                </c:pt>
                <c:pt idx="4">
                  <c:v>0.58559475647504511</c:v>
                </c:pt>
                <c:pt idx="5">
                  <c:v>1.112642727152634</c:v>
                </c:pt>
                <c:pt idx="6">
                  <c:v>1.36518913460224</c:v>
                </c:pt>
                <c:pt idx="7">
                  <c:v>0.24635706761816209</c:v>
                </c:pt>
                <c:pt idx="8">
                  <c:v>0.44038887183033038</c:v>
                </c:pt>
                <c:pt idx="9">
                  <c:v>0.35116413767435328</c:v>
                </c:pt>
                <c:pt idx="10">
                  <c:v>0.63490001524652129</c:v>
                </c:pt>
              </c:numCache>
            </c:numRef>
          </c:val>
        </c:ser>
        <c:ser>
          <c:idx val="1"/>
          <c:order val="1"/>
          <c:tx>
            <c:strRef>
              <c:f>LAW!$G$13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LAW!$E$14:$E$24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LAW!$G$14:$G$24</c:f>
              <c:numCache>
                <c:formatCode>0.000</c:formatCode>
                <c:ptCount val="11"/>
                <c:pt idx="0">
                  <c:v>2.508231846030632E-2</c:v>
                </c:pt>
                <c:pt idx="1">
                  <c:v>0.10777043804687469</c:v>
                </c:pt>
                <c:pt idx="2">
                  <c:v>0.25661173186069808</c:v>
                </c:pt>
                <c:pt idx="3">
                  <c:v>0.59396187121670252</c:v>
                </c:pt>
                <c:pt idx="4">
                  <c:v>0.94379611803914965</c:v>
                </c:pt>
                <c:pt idx="5">
                  <c:v>1.03849570771044</c:v>
                </c:pt>
                <c:pt idx="6">
                  <c:v>0.82455823554872554</c:v>
                </c:pt>
                <c:pt idx="7">
                  <c:v>0.36892918725162088</c:v>
                </c:pt>
                <c:pt idx="8">
                  <c:v>0.42979944244389362</c:v>
                </c:pt>
                <c:pt idx="9">
                  <c:v>0.49463278151830359</c:v>
                </c:pt>
                <c:pt idx="10">
                  <c:v>0.39162399783450252</c:v>
                </c:pt>
              </c:numCache>
            </c:numRef>
          </c:val>
        </c:ser>
        <c:ser>
          <c:idx val="2"/>
          <c:order val="2"/>
          <c:tx>
            <c:strRef>
              <c:f>LAW!$H$13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LAW!$E$14:$E$24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LAW!$H$14:$H$24</c:f>
              <c:numCache>
                <c:formatCode>0.000</c:formatCode>
                <c:ptCount val="11"/>
                <c:pt idx="0">
                  <c:v>2.9761170495394972E-2</c:v>
                </c:pt>
                <c:pt idx="1">
                  <c:v>-2.3534677844843661E-2</c:v>
                </c:pt>
                <c:pt idx="2">
                  <c:v>-0.1112856010939207</c:v>
                </c:pt>
                <c:pt idx="3">
                  <c:v>-0.1804994078308314</c:v>
                </c:pt>
                <c:pt idx="4">
                  <c:v>-0.35820136156410459</c:v>
                </c:pt>
                <c:pt idx="5">
                  <c:v>7.4147019442194262E-2</c:v>
                </c:pt>
                <c:pt idx="6">
                  <c:v>0.54063089905351491</c:v>
                </c:pt>
                <c:pt idx="7">
                  <c:v>-0.1225721196334589</c:v>
                </c:pt>
                <c:pt idx="8">
                  <c:v>1.058942938643687E-2</c:v>
                </c:pt>
                <c:pt idx="9">
                  <c:v>-0.14346864384395031</c:v>
                </c:pt>
                <c:pt idx="10">
                  <c:v>0.24327601741201871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1349888"/>
        <c:axId val="171351424"/>
      </c:barChart>
      <c:catAx>
        <c:axId val="171349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1351424"/>
        <c:crossesAt val="0"/>
        <c:auto val="1"/>
        <c:lblAlgn val="ctr"/>
        <c:lblOffset val="100"/>
        <c:noMultiLvlLbl val="0"/>
      </c:catAx>
      <c:valAx>
        <c:axId val="1713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134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'LAW2'!$F$13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'LAW2'!$E$14:$E$24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'LAW2'!$F$14:$F$24</c:f>
              <c:numCache>
                <c:formatCode>0.000</c:formatCode>
                <c:ptCount val="11"/>
                <c:pt idx="0">
                  <c:v>5.7015803472060117E-2</c:v>
                </c:pt>
                <c:pt idx="1">
                  <c:v>7.4927197135507079E-2</c:v>
                </c:pt>
                <c:pt idx="2">
                  <c:v>0.1542919626051624</c:v>
                </c:pt>
                <c:pt idx="3">
                  <c:v>0.43178187500910531</c:v>
                </c:pt>
                <c:pt idx="4">
                  <c:v>0.57049380107807313</c:v>
                </c:pt>
                <c:pt idx="5">
                  <c:v>1.122537464125192</c:v>
                </c:pt>
                <c:pt idx="6">
                  <c:v>1.3517030740675391</c:v>
                </c:pt>
                <c:pt idx="7">
                  <c:v>0.23415603334270721</c:v>
                </c:pt>
                <c:pt idx="8">
                  <c:v>0.45273016662016441</c:v>
                </c:pt>
                <c:pt idx="9">
                  <c:v>0.37935309282314239</c:v>
                </c:pt>
                <c:pt idx="10">
                  <c:v>0.63071087359440714</c:v>
                </c:pt>
              </c:numCache>
            </c:numRef>
          </c:val>
        </c:ser>
        <c:ser>
          <c:idx val="1"/>
          <c:order val="1"/>
          <c:tx>
            <c:strRef>
              <c:f>'LAW2'!$G$13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'LAW2'!$E$14:$E$24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'LAW2'!$G$14:$G$24</c:f>
              <c:numCache>
                <c:formatCode>0.000</c:formatCode>
                <c:ptCount val="11"/>
                <c:pt idx="0">
                  <c:v>2.5082318460306251E-2</c:v>
                </c:pt>
                <c:pt idx="1">
                  <c:v>0.1077704380468744</c:v>
                </c:pt>
                <c:pt idx="2">
                  <c:v>0.25661173186069719</c:v>
                </c:pt>
                <c:pt idx="3">
                  <c:v>0.59396187121670063</c:v>
                </c:pt>
                <c:pt idx="4">
                  <c:v>0.94379611803914709</c:v>
                </c:pt>
                <c:pt idx="5">
                  <c:v>1.038495707710436</c:v>
                </c:pt>
                <c:pt idx="6">
                  <c:v>0.82455823554872298</c:v>
                </c:pt>
                <c:pt idx="7">
                  <c:v>0.36892918725161977</c:v>
                </c:pt>
                <c:pt idx="8">
                  <c:v>0.42979944244389229</c:v>
                </c:pt>
                <c:pt idx="9">
                  <c:v>0.49463278151830209</c:v>
                </c:pt>
                <c:pt idx="10">
                  <c:v>0.39162399783450119</c:v>
                </c:pt>
              </c:numCache>
            </c:numRef>
          </c:val>
        </c:ser>
        <c:ser>
          <c:idx val="2"/>
          <c:order val="2"/>
          <c:tx>
            <c:strRef>
              <c:f>'LAW2'!$H$13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'LAW2'!$E$14:$E$24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'LAW2'!$H$14:$H$24</c:f>
              <c:numCache>
                <c:formatCode>0.000</c:formatCode>
                <c:ptCount val="11"/>
                <c:pt idx="0">
                  <c:v>3.1933485011753852E-2</c:v>
                </c:pt>
                <c:pt idx="1">
                  <c:v>-3.2843240911367269E-2</c:v>
                </c:pt>
                <c:pt idx="2">
                  <c:v>-0.10231976925553481</c:v>
                </c:pt>
                <c:pt idx="3">
                  <c:v>-0.16217999620759529</c:v>
                </c:pt>
                <c:pt idx="4">
                  <c:v>-0.37330231696107402</c:v>
                </c:pt>
                <c:pt idx="5">
                  <c:v>8.4041756414756197E-2</c:v>
                </c:pt>
                <c:pt idx="6">
                  <c:v>0.52714483851881633</c:v>
                </c:pt>
                <c:pt idx="7">
                  <c:v>-0.13477315390891259</c:v>
                </c:pt>
                <c:pt idx="8">
                  <c:v>2.2930724176271951E-2</c:v>
                </c:pt>
                <c:pt idx="9">
                  <c:v>-0.1152796886951597</c:v>
                </c:pt>
                <c:pt idx="10">
                  <c:v>0.23908687575990589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0563840"/>
        <c:axId val="170577920"/>
      </c:barChart>
      <c:catAx>
        <c:axId val="1705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0577920"/>
        <c:crossesAt val="0"/>
        <c:auto val="1"/>
        <c:lblAlgn val="ctr"/>
        <c:lblOffset val="100"/>
        <c:noMultiLvlLbl val="0"/>
      </c:catAx>
      <c:valAx>
        <c:axId val="1705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056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FSBCCO!$F$13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FSBCCO!$E$14:$E$24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FSBCCO!$F$14:$F$24</c:f>
              <c:numCache>
                <c:formatCode>0.000</c:formatCode>
                <c:ptCount val="11"/>
                <c:pt idx="0">
                  <c:v>2.7048720283355528E-2</c:v>
                </c:pt>
                <c:pt idx="1">
                  <c:v>8.5112113301377079E-2</c:v>
                </c:pt>
                <c:pt idx="2">
                  <c:v>0.23184422127728299</c:v>
                </c:pt>
                <c:pt idx="3">
                  <c:v>0.67622483587983817</c:v>
                </c:pt>
                <c:pt idx="4">
                  <c:v>0.92518675370917947</c:v>
                </c:pt>
                <c:pt idx="5">
                  <c:v>0.72096421513961473</c:v>
                </c:pt>
                <c:pt idx="6">
                  <c:v>0.88700813578571802</c:v>
                </c:pt>
                <c:pt idx="7">
                  <c:v>0.25811208904645461</c:v>
                </c:pt>
                <c:pt idx="8">
                  <c:v>0.23548385916721529</c:v>
                </c:pt>
                <c:pt idx="9">
                  <c:v>0.11282421537105081</c:v>
                </c:pt>
                <c:pt idx="10">
                  <c:v>-6.0651203424796851E-2</c:v>
                </c:pt>
              </c:numCache>
            </c:numRef>
          </c:val>
        </c:ser>
        <c:ser>
          <c:idx val="1"/>
          <c:order val="1"/>
          <c:tx>
            <c:strRef>
              <c:f>FSBCCO!$G$13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FSBCCO!$E$14:$E$24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FSBCCO!$G$14:$G$24</c:f>
              <c:numCache>
                <c:formatCode>0.000</c:formatCode>
                <c:ptCount val="11"/>
                <c:pt idx="0">
                  <c:v>2.5042280545734541E-2</c:v>
                </c:pt>
                <c:pt idx="1">
                  <c:v>0.139625342309186</c:v>
                </c:pt>
                <c:pt idx="2">
                  <c:v>0.3309405771424721</c:v>
                </c:pt>
                <c:pt idx="3">
                  <c:v>0.63994806580099284</c:v>
                </c:pt>
                <c:pt idx="4">
                  <c:v>0.91732844476447539</c:v>
                </c:pt>
                <c:pt idx="5">
                  <c:v>1.010661677539094</c:v>
                </c:pt>
                <c:pt idx="6">
                  <c:v>0.74682909169586509</c:v>
                </c:pt>
                <c:pt idx="7">
                  <c:v>0.26550893549968602</c:v>
                </c:pt>
                <c:pt idx="8">
                  <c:v>0.2302791626974616</c:v>
                </c:pt>
                <c:pt idx="9">
                  <c:v>0.105731679524558</c:v>
                </c:pt>
                <c:pt idx="10">
                  <c:v>-5.7598605954605357E-2</c:v>
                </c:pt>
              </c:numCache>
            </c:numRef>
          </c:val>
        </c:ser>
        <c:ser>
          <c:idx val="2"/>
          <c:order val="2"/>
          <c:tx>
            <c:strRef>
              <c:f>FSBCCO!$H$13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FSBCCO!$E$14:$E$24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FSBCCO!$H$14:$H$24</c:f>
              <c:numCache>
                <c:formatCode>0.000</c:formatCode>
                <c:ptCount val="11"/>
                <c:pt idx="0">
                  <c:v>2.0064397376209939E-3</c:v>
                </c:pt>
                <c:pt idx="1">
                  <c:v>-5.451322900780893E-2</c:v>
                </c:pt>
                <c:pt idx="2">
                  <c:v>-9.909635586518914E-2</c:v>
                </c:pt>
                <c:pt idx="3">
                  <c:v>3.6276770078845333E-2</c:v>
                </c:pt>
                <c:pt idx="4">
                  <c:v>7.8583089447040733E-3</c:v>
                </c:pt>
                <c:pt idx="5">
                  <c:v>-0.28969746239947969</c:v>
                </c:pt>
                <c:pt idx="6">
                  <c:v>0.14017904408985291</c:v>
                </c:pt>
                <c:pt idx="7">
                  <c:v>-7.3968464532313538E-3</c:v>
                </c:pt>
                <c:pt idx="8">
                  <c:v>5.2046964697536613E-3</c:v>
                </c:pt>
                <c:pt idx="9">
                  <c:v>7.0925358464928451E-3</c:v>
                </c:pt>
                <c:pt idx="10">
                  <c:v>-3.052597470191501E-3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9767936"/>
        <c:axId val="179782016"/>
      </c:barChart>
      <c:catAx>
        <c:axId val="179767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9782016"/>
        <c:crossesAt val="0"/>
        <c:auto val="1"/>
        <c:lblAlgn val="ctr"/>
        <c:lblOffset val="100"/>
        <c:noMultiLvlLbl val="0"/>
      </c:catAx>
      <c:valAx>
        <c:axId val="1797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976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756340273416701E-2"/>
          <c:y val="3.9278621100197524E-2"/>
          <c:w val="0.95124370078740161"/>
          <c:h val="0.71316520217581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NYSC!$F$13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rgbClr val="0A549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NYSC!$E$14:$E$24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NYSC!$F$14:$F$24</c:f>
              <c:numCache>
                <c:formatCode>0.000</c:formatCode>
                <c:ptCount val="11"/>
                <c:pt idx="0">
                  <c:v>7.2655414851211755E-2</c:v>
                </c:pt>
                <c:pt idx="1">
                  <c:v>7.7531082479190411E-2</c:v>
                </c:pt>
                <c:pt idx="2">
                  <c:v>0.12631699661755519</c:v>
                </c:pt>
                <c:pt idx="3">
                  <c:v>0.37813485325831492</c:v>
                </c:pt>
                <c:pt idx="4">
                  <c:v>0.5713480292632529</c:v>
                </c:pt>
                <c:pt idx="5">
                  <c:v>0.79070949988010952</c:v>
                </c:pt>
                <c:pt idx="6">
                  <c:v>0.64577949936236911</c:v>
                </c:pt>
                <c:pt idx="7">
                  <c:v>0.1313686676342696</c:v>
                </c:pt>
                <c:pt idx="8">
                  <c:v>0.36162272091297348</c:v>
                </c:pt>
                <c:pt idx="9">
                  <c:v>0.58373851329299353</c:v>
                </c:pt>
                <c:pt idx="10">
                  <c:v>-2.0966578668040178E-2</c:v>
                </c:pt>
              </c:numCache>
            </c:numRef>
          </c:val>
        </c:ser>
        <c:ser>
          <c:idx val="1"/>
          <c:order val="1"/>
          <c:tx>
            <c:strRef>
              <c:f>NYSC!$G$13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90949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NYSC!$E$14:$E$24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NYSC!$G$14:$G$24</c:f>
              <c:numCache>
                <c:formatCode>0.000</c:formatCode>
                <c:ptCount val="11"/>
                <c:pt idx="0">
                  <c:v>6.6870230194634728E-2</c:v>
                </c:pt>
                <c:pt idx="1">
                  <c:v>5.8253008282101719E-2</c:v>
                </c:pt>
                <c:pt idx="2">
                  <c:v>0.14611042416250891</c:v>
                </c:pt>
                <c:pt idx="3">
                  <c:v>0.37338938626910528</c:v>
                </c:pt>
                <c:pt idx="4">
                  <c:v>0.65810188710539586</c:v>
                </c:pt>
                <c:pt idx="5">
                  <c:v>0.82561046362382196</c:v>
                </c:pt>
                <c:pt idx="6">
                  <c:v>0.56538788463543876</c:v>
                </c:pt>
                <c:pt idx="7">
                  <c:v>0.23688880714513841</c:v>
                </c:pt>
                <c:pt idx="8">
                  <c:v>0.2344969473592636</c:v>
                </c:pt>
                <c:pt idx="9">
                  <c:v>0.30603824374111233</c:v>
                </c:pt>
                <c:pt idx="10">
                  <c:v>0.23442041457242091</c:v>
                </c:pt>
              </c:numCache>
            </c:numRef>
          </c:val>
        </c:ser>
        <c:ser>
          <c:idx val="2"/>
          <c:order val="2"/>
          <c:tx>
            <c:strRef>
              <c:f>NYSC!$H$13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E5B857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NYSC!$E$14:$E$24</c:f>
              <c:strCache>
                <c:ptCount val="11"/>
                <c:pt idx="0">
                  <c:v>3M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5Y</c:v>
                </c:pt>
                <c:pt idx="5">
                  <c:v>7Y</c:v>
                </c:pt>
                <c:pt idx="6">
                  <c:v>10Y</c:v>
                </c:pt>
                <c:pt idx="7">
                  <c:v>15Y</c:v>
                </c:pt>
                <c:pt idx="8">
                  <c:v>20Y</c:v>
                </c:pt>
                <c:pt idx="9">
                  <c:v>25Y</c:v>
                </c:pt>
                <c:pt idx="10">
                  <c:v>30Y</c:v>
                </c:pt>
              </c:strCache>
            </c:strRef>
          </c:cat>
          <c:val>
            <c:numRef>
              <c:f>NYSC!$H$14:$H$24</c:f>
              <c:numCache>
                <c:formatCode>0.000</c:formatCode>
                <c:ptCount val="11"/>
                <c:pt idx="0">
                  <c:v>5.7851846565770276E-3</c:v>
                </c:pt>
                <c:pt idx="1">
                  <c:v>1.9278074197088661E-2</c:v>
                </c:pt>
                <c:pt idx="2">
                  <c:v>-1.9793427544953751E-2</c:v>
                </c:pt>
                <c:pt idx="3">
                  <c:v>4.7454669892095791E-3</c:v>
                </c:pt>
                <c:pt idx="4">
                  <c:v>-8.6753857842142845E-2</c:v>
                </c:pt>
                <c:pt idx="5">
                  <c:v>-3.4900963743712543E-2</c:v>
                </c:pt>
                <c:pt idx="6">
                  <c:v>8.0391614726930238E-2</c:v>
                </c:pt>
                <c:pt idx="7">
                  <c:v>-0.1055201395108688</c:v>
                </c:pt>
                <c:pt idx="8">
                  <c:v>0.12712577355370999</c:v>
                </c:pt>
                <c:pt idx="9">
                  <c:v>0.27770026955188132</c:v>
                </c:pt>
                <c:pt idx="10">
                  <c:v>-0.2553869932404611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2"/>
        <c:axId val="179830144"/>
        <c:axId val="179582080"/>
      </c:barChart>
      <c:catAx>
        <c:axId val="179830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000" b="0"/>
            </a:pPr>
            <a:endParaRPr lang="en-US"/>
          </a:p>
        </c:txPr>
        <c:crossAx val="179582080"/>
        <c:crossesAt val="0"/>
        <c:auto val="1"/>
        <c:lblAlgn val="ctr"/>
        <c:lblOffset val="100"/>
        <c:noMultiLvlLbl val="0"/>
      </c:catAx>
      <c:valAx>
        <c:axId val="1795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 anchor="ctr" anchorCtr="0"/>
          <a:lstStyle/>
          <a:p>
            <a:pPr>
              <a:defRPr sz="1000" b="0"/>
            </a:pPr>
            <a:endParaRPr lang="en-US"/>
          </a:p>
        </c:txPr>
        <c:crossAx val="17983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006666344621003E-2"/>
          <c:y val="0.91512226548826303"/>
          <c:w val="0.93774044732138495"/>
          <c:h val="8.477897694398579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000" b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rial Narrow" charset="0"/>
          <a:ea typeface="Arial Narrow" charset="0"/>
          <a:cs typeface="Arial Narrow" charset="0"/>
        </a:defRPr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95250</xdr:colOff>
      <xdr:row>11</xdr:row>
      <xdr:rowOff>123266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tabSelected="1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1</v>
      </c>
      <c r="C1" s="3" t="s">
        <v>2</v>
      </c>
    </row>
    <row r="2" spans="1:8">
      <c r="A2" s="4" t="s">
        <v>3</v>
      </c>
      <c r="B2" s="9">
        <v>5.1112249650877146</v>
      </c>
      <c r="C2" s="9">
        <v>6.0434449650283382</v>
      </c>
    </row>
    <row r="3" spans="1:8">
      <c r="A3" s="4" t="s">
        <v>4</v>
      </c>
      <c r="B3" s="10">
        <v>178.88492280472349</v>
      </c>
      <c r="C3" s="10">
        <v>42.432274306040327</v>
      </c>
    </row>
    <row r="4" spans="1:8">
      <c r="A4" s="4" t="s">
        <v>5</v>
      </c>
      <c r="B4" s="9">
        <v>4.9218207686733741</v>
      </c>
      <c r="C4" s="9">
        <v>3.9153385837615091</v>
      </c>
    </row>
    <row r="5" spans="1:8">
      <c r="A5" s="4" t="s">
        <v>6</v>
      </c>
      <c r="B5" s="9">
        <v>9.0744087347319073</v>
      </c>
      <c r="C5" s="9">
        <v>8.0974581706531232</v>
      </c>
    </row>
    <row r="6" spans="1:8">
      <c r="A6" s="4" t="s">
        <v>7</v>
      </c>
      <c r="B6" s="9">
        <v>4.3566848750658904</v>
      </c>
      <c r="C6" s="9">
        <v>2.5663455010456482</v>
      </c>
    </row>
    <row r="7" spans="1:8">
      <c r="A7" s="4" t="s">
        <v>8</v>
      </c>
      <c r="B7" s="9">
        <v>4.2774712439017604</v>
      </c>
      <c r="C7" s="9">
        <v>2.5625300304363949</v>
      </c>
    </row>
    <row r="8" spans="1:8">
      <c r="A8" s="4" t="s">
        <v>9</v>
      </c>
      <c r="B8" s="9">
        <v>3.332873071163116</v>
      </c>
      <c r="C8" s="9">
        <v>3.0752740867932311</v>
      </c>
    </row>
    <row r="9" spans="1:8">
      <c r="A9" s="4" t="s">
        <v>10</v>
      </c>
      <c r="B9" s="9" t="s">
        <v>11</v>
      </c>
      <c r="C9" s="9" t="s">
        <v>12</v>
      </c>
    </row>
    <row r="10" spans="1:8">
      <c r="A10" s="4" t="s">
        <v>13</v>
      </c>
      <c r="B10" s="39">
        <v>2202469829.3654828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1</v>
      </c>
      <c r="C12" s="3" t="s">
        <v>2</v>
      </c>
    </row>
    <row r="13" spans="1:8">
      <c r="A13" s="6" t="s">
        <v>16</v>
      </c>
      <c r="B13" s="9">
        <v>20.990044888120899</v>
      </c>
      <c r="C13" s="9">
        <v>71.440060046559694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1.422801148930978</v>
      </c>
      <c r="C14" s="12">
        <v>4.125312269616324</v>
      </c>
      <c r="E14" s="40" t="s">
        <v>22</v>
      </c>
      <c r="F14" s="41">
        <v>5.1631067931344803E-2</v>
      </c>
      <c r="G14" s="41">
        <v>2.3062687079547731E-2</v>
      </c>
      <c r="H14" s="41">
        <v>2.8568380851797082E-2</v>
      </c>
    </row>
    <row r="15" spans="1:8">
      <c r="A15" s="4" t="s">
        <v>23</v>
      </c>
      <c r="B15" s="9">
        <v>5.2466458922219816</v>
      </c>
      <c r="C15" s="12">
        <v>10.661300686190611</v>
      </c>
      <c r="E15" s="40" t="s">
        <v>24</v>
      </c>
      <c r="F15" s="41">
        <v>9.452698847287716E-2</v>
      </c>
      <c r="G15" s="41">
        <v>0.1202014998773106</v>
      </c>
      <c r="H15" s="41">
        <v>-2.5674511404433401E-2</v>
      </c>
    </row>
    <row r="16" spans="1:8">
      <c r="A16" s="4" t="s">
        <v>25</v>
      </c>
      <c r="B16" s="9">
        <v>25.56120058791905</v>
      </c>
      <c r="C16" s="12">
        <v>13.763549472661539</v>
      </c>
      <c r="E16" s="40" t="s">
        <v>26</v>
      </c>
      <c r="F16" s="41">
        <v>0.1524475605453193</v>
      </c>
      <c r="G16" s="41">
        <v>0.28423582329611569</v>
      </c>
      <c r="H16" s="41">
        <v>-0.13178826275079639</v>
      </c>
    </row>
    <row r="17" spans="1:8">
      <c r="A17" s="4" t="s">
        <v>27</v>
      </c>
      <c r="B17" s="9">
        <v>17.766183283906319</v>
      </c>
      <c r="C17" s="12">
        <v>0</v>
      </c>
      <c r="E17" s="40" t="s">
        <v>28</v>
      </c>
      <c r="F17" s="41">
        <v>0.31798274469268673</v>
      </c>
      <c r="G17" s="41">
        <v>0.55199783133138758</v>
      </c>
      <c r="H17" s="41">
        <v>-0.23401508663870091</v>
      </c>
    </row>
    <row r="18" spans="1:8">
      <c r="A18" s="4" t="s">
        <v>29</v>
      </c>
      <c r="B18" s="12">
        <v>15.297832660465851</v>
      </c>
      <c r="C18" s="12">
        <v>0</v>
      </c>
      <c r="E18" s="40" t="s">
        <v>30</v>
      </c>
      <c r="F18" s="41">
        <v>0.48978379146721129</v>
      </c>
      <c r="G18" s="41">
        <v>0.79566777171943082</v>
      </c>
      <c r="H18" s="41">
        <v>-0.30588398025221952</v>
      </c>
    </row>
    <row r="19" spans="1:8">
      <c r="A19" s="4" t="s">
        <v>31</v>
      </c>
      <c r="B19" s="12">
        <v>6.6392792564850494</v>
      </c>
      <c r="C19" s="12">
        <v>0</v>
      </c>
      <c r="E19" s="40" t="s">
        <v>32</v>
      </c>
      <c r="F19" s="41">
        <v>0.53988584714551968</v>
      </c>
      <c r="G19" s="41">
        <v>0.89059970641539066</v>
      </c>
      <c r="H19" s="41">
        <v>-0.35071385926987109</v>
      </c>
    </row>
    <row r="20" spans="1:8">
      <c r="A20" s="4" t="s">
        <v>33</v>
      </c>
      <c r="B20" s="12">
        <v>0.16264744312249441</v>
      </c>
      <c r="C20" s="12">
        <v>9.7775249720791074E-3</v>
      </c>
      <c r="E20" s="40" t="s">
        <v>34</v>
      </c>
      <c r="F20" s="41">
        <v>1.3789130907801539</v>
      </c>
      <c r="G20" s="41">
        <v>0.76652644917813151</v>
      </c>
      <c r="H20" s="41">
        <v>0.61238664160202305</v>
      </c>
    </row>
    <row r="21" spans="1:8">
      <c r="A21" s="4" t="s">
        <v>35</v>
      </c>
      <c r="B21" s="12">
        <v>6.9133648388273432</v>
      </c>
      <c r="C21" s="12">
        <v>0</v>
      </c>
      <c r="E21" s="40" t="s">
        <v>36</v>
      </c>
      <c r="F21" s="41">
        <v>0.53148660934207403</v>
      </c>
      <c r="G21" s="41">
        <v>0.44217004280291622</v>
      </c>
      <c r="H21" s="41">
        <v>8.9316566539157816E-2</v>
      </c>
    </row>
    <row r="22" spans="1:8">
      <c r="A22" s="2" t="s">
        <v>37</v>
      </c>
      <c r="B22" s="13">
        <f>SUM(B13:B21)</f>
        <v>99.999999999999986</v>
      </c>
      <c r="C22" s="13">
        <f>SUM(C13:C21)</f>
        <v>100.00000000000026</v>
      </c>
      <c r="E22" s="40" t="s">
        <v>38</v>
      </c>
      <c r="F22" s="41">
        <v>0.61341425377071523</v>
      </c>
      <c r="G22" s="41">
        <v>0.57934744814972761</v>
      </c>
      <c r="H22" s="41">
        <v>3.4066805620987628E-2</v>
      </c>
    </row>
    <row r="23" spans="1:8">
      <c r="A23" s="14"/>
      <c r="B23" s="15"/>
      <c r="C23" s="15"/>
      <c r="E23" s="40" t="s">
        <v>39</v>
      </c>
      <c r="F23" s="41">
        <v>0.3730129801836059</v>
      </c>
      <c r="G23" s="41">
        <v>0.92667732280286041</v>
      </c>
      <c r="H23" s="41">
        <v>-0.55366434261925446</v>
      </c>
    </row>
    <row r="24" spans="1:8">
      <c r="E24" s="40" t="s">
        <v>40</v>
      </c>
      <c r="F24" s="41">
        <v>0.56815143890211817</v>
      </c>
      <c r="G24" s="41">
        <v>0.66103963404342714</v>
      </c>
      <c r="H24" s="41">
        <v>-9.2888195141308971E-2</v>
      </c>
    </row>
    <row r="25" spans="1:8" ht="25.5">
      <c r="A25" s="5" t="s">
        <v>41</v>
      </c>
      <c r="B25" s="3" t="s">
        <v>1</v>
      </c>
      <c r="C25" s="3" t="s">
        <v>2</v>
      </c>
    </row>
    <row r="26" spans="1:8">
      <c r="A26" s="6" t="s">
        <v>42</v>
      </c>
      <c r="B26" s="9">
        <v>2.886998099627514</v>
      </c>
      <c r="C26" s="9">
        <v>3.1993477163689938</v>
      </c>
    </row>
    <row r="27" spans="1:8">
      <c r="A27" s="4" t="s">
        <v>43</v>
      </c>
      <c r="B27" s="9">
        <v>18.753474550031779</v>
      </c>
      <c r="C27" s="12">
        <v>71.000261793227494</v>
      </c>
    </row>
    <row r="28" spans="1:8">
      <c r="A28" s="4" t="s">
        <v>44</v>
      </c>
      <c r="B28" s="9">
        <v>3.6009959266866001</v>
      </c>
      <c r="C28" s="12">
        <v>10.21860298394733</v>
      </c>
    </row>
    <row r="29" spans="1:8">
      <c r="A29" s="4" t="s">
        <v>45</v>
      </c>
      <c r="B29" s="9">
        <v>24.504371943745141</v>
      </c>
      <c r="C29" s="12">
        <v>13.874627472551669</v>
      </c>
    </row>
    <row r="30" spans="1:8">
      <c r="A30" s="4" t="s">
        <v>46</v>
      </c>
      <c r="B30" s="9">
        <v>17.36012913665872</v>
      </c>
      <c r="C30" s="12">
        <v>6.1691987088617541E-2</v>
      </c>
    </row>
    <row r="31" spans="1:8">
      <c r="A31" s="4" t="s">
        <v>47</v>
      </c>
      <c r="B31" s="12">
        <v>16.369699514707989</v>
      </c>
      <c r="C31" s="12">
        <v>0</v>
      </c>
    </row>
    <row r="32" spans="1:8">
      <c r="A32" s="4" t="s">
        <v>48</v>
      </c>
      <c r="B32" s="12">
        <v>5.1277143502829681</v>
      </c>
      <c r="C32" s="12">
        <v>0</v>
      </c>
    </row>
    <row r="33" spans="1:3">
      <c r="A33" s="4" t="s">
        <v>49</v>
      </c>
      <c r="B33" s="12">
        <v>4.4832516394319146</v>
      </c>
      <c r="C33" s="12">
        <v>1.645468046816094</v>
      </c>
    </row>
    <row r="34" spans="1:3">
      <c r="A34" s="4" t="s">
        <v>35</v>
      </c>
      <c r="B34" s="12">
        <v>6.9133648388273432</v>
      </c>
      <c r="C34" s="12">
        <v>0</v>
      </c>
    </row>
    <row r="35" spans="1:3">
      <c r="A35" s="2" t="s">
        <v>37</v>
      </c>
      <c r="B35" s="13">
        <f>SUM(B26:B34)</f>
        <v>99.999999999999972</v>
      </c>
      <c r="C35" s="13">
        <f>SUM(C26:C34)</f>
        <v>100.0000000000002</v>
      </c>
    </row>
    <row r="37" spans="1:3" ht="25.5">
      <c r="A37" s="5" t="s">
        <v>50</v>
      </c>
      <c r="B37" s="3" t="s">
        <v>1</v>
      </c>
      <c r="C37" s="3" t="s">
        <v>2</v>
      </c>
    </row>
    <row r="38" spans="1:3">
      <c r="A38" s="6" t="s">
        <v>51</v>
      </c>
      <c r="B38" s="9">
        <v>18.806400955378638</v>
      </c>
      <c r="C38" s="9">
        <v>71.283055386579846</v>
      </c>
    </row>
    <row r="39" spans="1:3">
      <c r="A39" s="4" t="s">
        <v>52</v>
      </c>
      <c r="B39" s="9">
        <v>1.320452397707865</v>
      </c>
      <c r="C39" s="12">
        <v>4.072754513591736</v>
      </c>
    </row>
    <row r="40" spans="1:3">
      <c r="A40" s="4" t="s">
        <v>53</v>
      </c>
      <c r="B40" s="9">
        <v>6.529279562871694</v>
      </c>
      <c r="C40" s="12">
        <v>10.408027260276031</v>
      </c>
    </row>
    <row r="41" spans="1:3">
      <c r="A41" s="4" t="s">
        <v>54</v>
      </c>
      <c r="B41" s="9">
        <v>23.092825415430578</v>
      </c>
      <c r="C41" s="12">
        <v>12.73356413605055</v>
      </c>
    </row>
    <row r="42" spans="1:3">
      <c r="A42" s="4" t="s">
        <v>55</v>
      </c>
      <c r="B42" s="9">
        <v>20.05412335929509</v>
      </c>
      <c r="C42" s="12">
        <v>0.7689380696772502</v>
      </c>
    </row>
    <row r="43" spans="1:3">
      <c r="A43" s="4" t="s">
        <v>56</v>
      </c>
      <c r="B43" s="12">
        <v>14.81527081593145</v>
      </c>
      <c r="C43" s="12">
        <v>2.2698966061232518E-3</v>
      </c>
    </row>
    <row r="44" spans="1:3">
      <c r="A44" s="4" t="s">
        <v>57</v>
      </c>
      <c r="B44" s="12">
        <v>3.250905505233777</v>
      </c>
      <c r="C44" s="12">
        <v>0</v>
      </c>
    </row>
    <row r="45" spans="1:3">
      <c r="A45" s="4" t="s">
        <v>58</v>
      </c>
      <c r="B45" s="12">
        <v>5.2173771493235277</v>
      </c>
      <c r="C45" s="12">
        <v>0.73139073721869508</v>
      </c>
    </row>
    <row r="46" spans="1:3">
      <c r="A46" s="4" t="s">
        <v>35</v>
      </c>
      <c r="B46" s="12">
        <v>6.9133648388273432</v>
      </c>
      <c r="C46" s="12">
        <v>0</v>
      </c>
    </row>
    <row r="47" spans="1:3">
      <c r="A47" s="2" t="s">
        <v>37</v>
      </c>
      <c r="B47" s="13">
        <f>SUM(B38:B46)</f>
        <v>99.999999999999972</v>
      </c>
      <c r="C47" s="13">
        <f>SUM(C38:C46)</f>
        <v>100.00000000000021</v>
      </c>
    </row>
    <row r="49" spans="1:35" ht="26.25">
      <c r="Q49" s="16" t="s">
        <v>59</v>
      </c>
      <c r="R49" s="16" t="s">
        <v>1</v>
      </c>
      <c r="S49" s="16" t="s">
        <v>2</v>
      </c>
      <c r="T49" s="17" t="s">
        <v>60</v>
      </c>
      <c r="U49" s="18"/>
      <c r="V49" s="16" t="s">
        <v>59</v>
      </c>
      <c r="W49" s="16" t="s">
        <v>1</v>
      </c>
      <c r="X49" s="16" t="s">
        <v>2</v>
      </c>
      <c r="Y49" s="17" t="s">
        <v>60</v>
      </c>
      <c r="AA49" s="19" t="s">
        <v>61</v>
      </c>
      <c r="AB49" s="16" t="s">
        <v>1</v>
      </c>
      <c r="AC49" s="16" t="s">
        <v>2</v>
      </c>
      <c r="AD49" s="20" t="s">
        <v>60</v>
      </c>
      <c r="AE49" s="21"/>
      <c r="AF49" s="22" t="s">
        <v>62</v>
      </c>
      <c r="AG49" s="16" t="s">
        <v>1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20.426397545406942</v>
      </c>
      <c r="C52" s="53">
        <v>38.280373394762101</v>
      </c>
      <c r="D52" s="53">
        <v>-17.853975849355162</v>
      </c>
      <c r="E52" s="53">
        <v>0.99699079125243051</v>
      </c>
      <c r="F52" s="53">
        <v>2.331390153036176</v>
      </c>
      <c r="G52" s="53">
        <v>-1.3343993617837455</v>
      </c>
      <c r="H52" s="53">
        <v>0.55242539623955766</v>
      </c>
      <c r="I52" s="53">
        <v>-0.15956820621275536</v>
      </c>
      <c r="J52" s="54">
        <v>4.1768955922358675</v>
      </c>
      <c r="K52" s="54">
        <v>0.85318929872667804</v>
      </c>
      <c r="L52" s="54">
        <v>0.51402458698020981</v>
      </c>
      <c r="M52" s="53">
        <v>-0.31176835312105394</v>
      </c>
      <c r="N52" s="53">
        <v>-6.3683043229274636E-2</v>
      </c>
      <c r="O52" s="53">
        <v>-0.14893092475445305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0.33342652063096123</v>
      </c>
      <c r="C53" s="56">
        <v>2.2837246791452541</v>
      </c>
      <c r="D53" s="56">
        <v>-1.9502981585142929</v>
      </c>
      <c r="E53" s="56">
        <v>4.1427000388109612E-2</v>
      </c>
      <c r="F53" s="56">
        <v>8.7108666114331199E-2</v>
      </c>
      <c r="G53" s="56">
        <v>-4.5681665726221586E-2</v>
      </c>
      <c r="H53" s="56">
        <v>1.0275210953686382E-2</v>
      </c>
      <c r="I53" s="56">
        <v>-2.9437243776567507E-2</v>
      </c>
      <c r="J53" s="57">
        <v>50.929089417492406</v>
      </c>
      <c r="K53" s="57">
        <v>0.16981109083377605</v>
      </c>
      <c r="L53" s="57">
        <v>-0.2169508072690769</v>
      </c>
      <c r="M53" s="56">
        <v>12.128841466192927</v>
      </c>
      <c r="N53" s="56">
        <v>4.0440774093572343E-2</v>
      </c>
      <c r="O53" s="56">
        <v>-4.4807107431606069E-2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16.176443141056261</v>
      </c>
      <c r="C54" s="56">
        <v>35.99664871561685</v>
      </c>
      <c r="D54" s="56">
        <v>-19.820205574560585</v>
      </c>
      <c r="E54" s="56">
        <v>1.7262534030053518</v>
      </c>
      <c r="F54" s="56">
        <v>2.244281486921845</v>
      </c>
      <c r="G54" s="56">
        <v>-0.51802808391649324</v>
      </c>
      <c r="H54" s="56">
        <v>0.42401612479163031</v>
      </c>
      <c r="I54" s="56">
        <v>-0.24826502293042885</v>
      </c>
      <c r="J54" s="57">
        <v>1.5743720251080711</v>
      </c>
      <c r="K54" s="57">
        <v>0.25467739547030316</v>
      </c>
      <c r="L54" s="57">
        <v>0.30227458182668782</v>
      </c>
      <c r="M54" s="56">
        <v>-0.64367559923341755</v>
      </c>
      <c r="N54" s="56">
        <v>-0.10412381732284698</v>
      </c>
      <c r="O54" s="56">
        <v>-0.10412381732284698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5.7373697550506897</v>
      </c>
      <c r="C55" s="59">
        <v>35.99664871561685</v>
      </c>
      <c r="D55" s="59">
        <v>-30.259278960566157</v>
      </c>
      <c r="E55" s="59">
        <v>0.3901632939457722</v>
      </c>
      <c r="F55" s="59">
        <v>2.244281486921845</v>
      </c>
      <c r="G55" s="59">
        <v>-1.8541181929760728</v>
      </c>
      <c r="H55" s="59">
        <v>0.11321567805545039</v>
      </c>
      <c r="I55" s="59">
        <v>-0.55906546966660875</v>
      </c>
      <c r="J55" s="60">
        <v>1.3454456188829182</v>
      </c>
      <c r="K55" s="60">
        <v>7.719319000844313E-2</v>
      </c>
      <c r="L55" s="60">
        <v>0.1247903763648278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10.439073386005571</v>
      </c>
      <c r="C56" s="61" t="s">
        <v>14</v>
      </c>
      <c r="D56" s="59">
        <v>10.439073386005571</v>
      </c>
      <c r="E56" s="59">
        <v>0.98662581109963254</v>
      </c>
      <c r="F56" s="59" t="s">
        <v>14</v>
      </c>
      <c r="G56" s="59">
        <v>0.98662581109963254</v>
      </c>
      <c r="H56" s="59">
        <v>0.25501856190370598</v>
      </c>
      <c r="I56" s="59">
        <v>0.25501856190370598</v>
      </c>
      <c r="J56" s="60">
        <v>1.7420786437708129</v>
      </c>
      <c r="K56" s="60">
        <v>0.18185686806516577</v>
      </c>
      <c r="L56" s="60">
        <v>0.18185686806516577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0.45483223770056502</v>
      </c>
      <c r="F57" s="59" t="s">
        <v>14</v>
      </c>
      <c r="G57" s="59">
        <v>0.45483223770056502</v>
      </c>
      <c r="H57" s="59">
        <v>6.9603732730355597E-2</v>
      </c>
      <c r="I57" s="59">
        <v>6.9603732730355597E-2</v>
      </c>
      <c r="J57" s="60">
        <v>-0.40535973628279753</v>
      </c>
      <c r="K57" s="60">
        <v>-7.0805519695623636E-3</v>
      </c>
      <c r="L57" s="60">
        <v>-7.0805519695623636E-3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-0.10536793974061803</v>
      </c>
      <c r="F58" s="59" t="s">
        <v>14</v>
      </c>
      <c r="G58" s="59">
        <v>-0.10536793974061803</v>
      </c>
      <c r="H58" s="59">
        <v>-1.3821847897881637E-2</v>
      </c>
      <c r="I58" s="59">
        <v>-1.3821847897881637E-2</v>
      </c>
      <c r="J58" s="60">
        <v>-0.24120295760334901</v>
      </c>
      <c r="K58" s="60">
        <v>2.7078893662566129E-3</v>
      </c>
      <c r="L58" s="60">
        <v>2.7078893662566129E-3</v>
      </c>
      <c r="M58" s="59">
        <v>9.2747410615007748</v>
      </c>
      <c r="N58" s="59">
        <v>-0.10412381732284698</v>
      </c>
      <c r="O58" s="59">
        <v>-0.10412381732284698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109</v>
      </c>
      <c r="B59" s="56">
        <v>0.31190951262691141</v>
      </c>
      <c r="C59" s="62" t="s">
        <v>14</v>
      </c>
      <c r="D59" s="56">
        <v>0.31190951262691141</v>
      </c>
      <c r="E59" s="56">
        <v>4.5688136071886411E-2</v>
      </c>
      <c r="F59" s="56" t="s">
        <v>14</v>
      </c>
      <c r="G59" s="56">
        <v>4.5688136071886411E-2</v>
      </c>
      <c r="H59" s="56">
        <v>1.2069660907629605E-2</v>
      </c>
      <c r="I59" s="56">
        <v>1.2069660907629605E-2</v>
      </c>
      <c r="J59" s="57">
        <v>49.768734061187097</v>
      </c>
      <c r="K59" s="57">
        <v>0.15523341585083233</v>
      </c>
      <c r="L59" s="57">
        <v>0.15523341585083233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8" t="s">
        <v>110</v>
      </c>
      <c r="B60" s="59">
        <v>0.31190951262691141</v>
      </c>
      <c r="C60" s="61" t="s">
        <v>14</v>
      </c>
      <c r="D60" s="59">
        <v>0.31190951262691141</v>
      </c>
      <c r="E60" s="59">
        <v>4.5688136071886411E-2</v>
      </c>
      <c r="F60" s="59" t="s">
        <v>14</v>
      </c>
      <c r="G60" s="59">
        <v>4.5688136071886411E-2</v>
      </c>
      <c r="H60" s="59">
        <v>1.2069660907629605E-2</v>
      </c>
      <c r="I60" s="59">
        <v>1.2069660907629605E-2</v>
      </c>
      <c r="J60" s="60">
        <v>49.768734061187097</v>
      </c>
      <c r="K60" s="60">
        <v>0.15523341585083233</v>
      </c>
      <c r="L60" s="60">
        <v>0.15523341585083233</v>
      </c>
      <c r="M60" s="59" t="s">
        <v>14</v>
      </c>
      <c r="N60" s="59" t="s">
        <v>14</v>
      </c>
      <c r="O60" s="59" t="s">
        <v>14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111</v>
      </c>
      <c r="B61" s="56">
        <v>3.6046183710928075</v>
      </c>
      <c r="C61" s="62" t="s">
        <v>14</v>
      </c>
      <c r="D61" s="56">
        <v>3.6046183710928075</v>
      </c>
      <c r="E61" s="56">
        <v>-0.81637774821291731</v>
      </c>
      <c r="F61" s="56" t="s">
        <v>14</v>
      </c>
      <c r="G61" s="56">
        <v>-0.81637774821291731</v>
      </c>
      <c r="H61" s="56">
        <v>0.10606439958661135</v>
      </c>
      <c r="I61" s="56">
        <v>0.10606439958661135</v>
      </c>
      <c r="J61" s="57">
        <v>7.5865838881817504</v>
      </c>
      <c r="K61" s="57">
        <v>0.2734673965717665</v>
      </c>
      <c r="L61" s="57">
        <v>0.2734673965717665</v>
      </c>
      <c r="M61" s="56" t="s">
        <v>14</v>
      </c>
      <c r="N61" s="56" t="s">
        <v>14</v>
      </c>
      <c r="O61" s="56" t="s">
        <v>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112</v>
      </c>
      <c r="B62" s="64">
        <v>41.970980824513575</v>
      </c>
      <c r="C62" s="64">
        <v>30.326231137594284</v>
      </c>
      <c r="D62" s="64">
        <v>11.644749686919292</v>
      </c>
      <c r="E62" s="64">
        <v>1.1031797471538267</v>
      </c>
      <c r="F62" s="64">
        <v>1.4472224848749613</v>
      </c>
      <c r="G62" s="64">
        <v>-0.34404273772113458</v>
      </c>
      <c r="H62" s="64">
        <v>1.3989570577555737</v>
      </c>
      <c r="I62" s="64">
        <v>0.54651988801746609</v>
      </c>
      <c r="J62" s="65">
        <v>107.48317446401809</v>
      </c>
      <c r="K62" s="65">
        <v>45.111742543871472</v>
      </c>
      <c r="L62" s="65">
        <v>37.721515094939548</v>
      </c>
      <c r="M62" s="64">
        <v>4.4566253673048539</v>
      </c>
      <c r="N62" s="64">
        <v>1.8704893783319281</v>
      </c>
      <c r="O62" s="64">
        <v>0.23951976332981917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113</v>
      </c>
      <c r="B63" s="56">
        <v>21.298897986659721</v>
      </c>
      <c r="C63" s="56">
        <v>28.100938891367942</v>
      </c>
      <c r="D63" s="56">
        <v>-6.8020409047082229</v>
      </c>
      <c r="E63" s="56">
        <v>1.0274136474021347</v>
      </c>
      <c r="F63" s="56">
        <v>1.3393581882522161</v>
      </c>
      <c r="G63" s="56">
        <v>-0.31194454085008139</v>
      </c>
      <c r="H63" s="56">
        <v>0.61507134406993358</v>
      </c>
      <c r="I63" s="56">
        <v>-0.18038770883821897</v>
      </c>
      <c r="J63" s="57">
        <v>13.487398892935703</v>
      </c>
      <c r="K63" s="57">
        <v>2.872667331260248</v>
      </c>
      <c r="L63" s="57">
        <v>-2.9357225379409377</v>
      </c>
      <c r="M63" s="56">
        <v>5.3511626072253637</v>
      </c>
      <c r="N63" s="56">
        <v>1.1397386648132106</v>
      </c>
      <c r="O63" s="56">
        <v>-0.38513165870278376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114</v>
      </c>
      <c r="B64" s="56">
        <v>16.557614331133578</v>
      </c>
      <c r="C64" s="62" t="s">
        <v>14</v>
      </c>
      <c r="D64" s="56">
        <v>16.557614331133578</v>
      </c>
      <c r="E64" s="56">
        <v>1.4108504760727015E-2</v>
      </c>
      <c r="F64" s="56" t="s">
        <v>14</v>
      </c>
      <c r="G64" s="56">
        <v>1.4108504760727015E-2</v>
      </c>
      <c r="H64" s="56">
        <v>0.6908380961675753</v>
      </c>
      <c r="I64" s="56">
        <v>0.6908380961675753</v>
      </c>
      <c r="J64" s="57">
        <v>227.25518359794518</v>
      </c>
      <c r="K64" s="57">
        <v>37.62803684765727</v>
      </c>
      <c r="L64" s="57">
        <v>37.62803684765727</v>
      </c>
      <c r="M64" s="56">
        <v>4.0242162478191146</v>
      </c>
      <c r="N64" s="56">
        <v>0.66631420616470394</v>
      </c>
      <c r="O64" s="56">
        <v>0.66631420616470394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115</v>
      </c>
      <c r="B65" s="56">
        <v>1.6151688109661091</v>
      </c>
      <c r="C65" s="56">
        <v>1.7066456783670247</v>
      </c>
      <c r="D65" s="56">
        <v>-9.1476867400915735E-2</v>
      </c>
      <c r="E65" s="56">
        <v>4.9591523112367912E-2</v>
      </c>
      <c r="F65" s="56">
        <v>9.5279285065683825E-2</v>
      </c>
      <c r="G65" s="56">
        <v>-4.5687761953315913E-2</v>
      </c>
      <c r="H65" s="56">
        <v>6.220998982329394E-2</v>
      </c>
      <c r="I65" s="56">
        <v>1.5219263504635358E-2</v>
      </c>
      <c r="J65" s="57">
        <v>206.86047965918743</v>
      </c>
      <c r="K65" s="57">
        <v>3.3411459496700875</v>
      </c>
      <c r="L65" s="57">
        <v>2.0637889623018699</v>
      </c>
      <c r="M65" s="56">
        <v>3.051235046081676</v>
      </c>
      <c r="N65" s="56">
        <v>4.9282596813578612E-2</v>
      </c>
      <c r="O65" s="56">
        <v>-4.4404627776152346E-2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116</v>
      </c>
      <c r="B66" s="56">
        <v>2.4833687170264782</v>
      </c>
      <c r="C66" s="56">
        <v>0.44305072411314572</v>
      </c>
      <c r="D66" s="56">
        <v>2.0403179929133328</v>
      </c>
      <c r="E66" s="56">
        <v>1.2026244431777898E-2</v>
      </c>
      <c r="F66" s="56">
        <v>1.029485416989824E-2</v>
      </c>
      <c r="G66" s="56">
        <v>1.7313902618796579E-3</v>
      </c>
      <c r="H66" s="56">
        <v>3.026482631701196E-2</v>
      </c>
      <c r="I66" s="56">
        <v>2.1854963024479243E-2</v>
      </c>
      <c r="J66" s="57">
        <v>50.385066340372049</v>
      </c>
      <c r="K66" s="57">
        <v>1.251246975549837</v>
      </c>
      <c r="L66" s="57">
        <v>0.99002307645403009</v>
      </c>
      <c r="M66" s="56">
        <v>0.60791699709697</v>
      </c>
      <c r="N66" s="56">
        <v>1.5096820531392916E-2</v>
      </c>
      <c r="O66" s="56">
        <v>4.9486280487253433E-3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117</v>
      </c>
      <c r="B67" s="66" t="s">
        <v>14</v>
      </c>
      <c r="C67" s="56">
        <v>7.5595843746166319E-2</v>
      </c>
      <c r="D67" s="56">
        <v>-7.5595843746166319E-2</v>
      </c>
      <c r="E67" s="56" t="s">
        <v>14</v>
      </c>
      <c r="F67" s="56">
        <v>2.2901573871632352E-3</v>
      </c>
      <c r="G67" s="56">
        <v>-2.2901573871632352E-3</v>
      </c>
      <c r="H67" s="56" t="s">
        <v>14</v>
      </c>
      <c r="I67" s="56">
        <v>-1.5775272187636864E-3</v>
      </c>
      <c r="J67" s="57" t="s">
        <v>14</v>
      </c>
      <c r="K67" s="57" t="s">
        <v>14</v>
      </c>
      <c r="L67" s="57">
        <v>-4.3256693266710763E-2</v>
      </c>
      <c r="M67" s="56" t="s">
        <v>14</v>
      </c>
      <c r="N67" s="56" t="s">
        <v>14</v>
      </c>
      <c r="O67" s="56">
        <v>-2.2638744137160258E-3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5" t="s">
        <v>118</v>
      </c>
      <c r="B68" s="56">
        <v>1.5930978727689758E-2</v>
      </c>
      <c r="C68" s="62" t="s">
        <v>14</v>
      </c>
      <c r="D68" s="56">
        <v>1.5930978727689758E-2</v>
      </c>
      <c r="E68" s="56">
        <v>3.9827446819224391E-5</v>
      </c>
      <c r="F68" s="56" t="s">
        <v>14</v>
      </c>
      <c r="G68" s="56">
        <v>3.9827446819224391E-5</v>
      </c>
      <c r="H68" s="56">
        <v>5.7280137775888272E-4</v>
      </c>
      <c r="I68" s="56">
        <v>5.7280137775888272E-4</v>
      </c>
      <c r="J68" s="57">
        <v>117.03888413098537</v>
      </c>
      <c r="K68" s="57">
        <v>1.8645439734032741E-2</v>
      </c>
      <c r="L68" s="57">
        <v>1.8645439734032741E-2</v>
      </c>
      <c r="M68" s="56">
        <v>0.35835845378869802</v>
      </c>
      <c r="N68" s="56">
        <v>5.7090009041955407E-5</v>
      </c>
      <c r="O68" s="56">
        <v>5.7090009041955407E-5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119</v>
      </c>
      <c r="B69" s="64">
        <v>22.399607703427225</v>
      </c>
      <c r="C69" s="64">
        <v>31.393395467643764</v>
      </c>
      <c r="D69" s="64">
        <v>-8.99378776421654</v>
      </c>
      <c r="E69" s="64">
        <v>2.0388791823565233</v>
      </c>
      <c r="F69" s="64">
        <v>2.264832327117194</v>
      </c>
      <c r="G69" s="64">
        <v>-0.22595314476067063</v>
      </c>
      <c r="H69" s="64">
        <v>0.95832948542923746</v>
      </c>
      <c r="I69" s="64">
        <v>-3.976977281673344E-2</v>
      </c>
      <c r="J69" s="65">
        <v>190.15936696339</v>
      </c>
      <c r="K69" s="65">
        <v>42.594952211119953</v>
      </c>
      <c r="L69" s="65">
        <v>7.8920700657581264</v>
      </c>
      <c r="M69" s="64">
        <v>8.7799057424241518</v>
      </c>
      <c r="N69" s="64">
        <v>1.9666644430336899</v>
      </c>
      <c r="O69" s="64">
        <v>-0.23245664420052936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5" t="s">
        <v>120</v>
      </c>
      <c r="B70" s="56">
        <v>21.666663193383162</v>
      </c>
      <c r="C70" s="56">
        <v>25.829613674930346</v>
      </c>
      <c r="D70" s="56">
        <v>-4.1629504815471838</v>
      </c>
      <c r="E70" s="56">
        <v>1.9886676893073898</v>
      </c>
      <c r="F70" s="56">
        <v>1.9280943793153946</v>
      </c>
      <c r="G70" s="56">
        <v>6.0573309991995172E-2</v>
      </c>
      <c r="H70" s="56">
        <v>0.92148769505145744</v>
      </c>
      <c r="I70" s="56">
        <v>7.8215687477929619E-2</v>
      </c>
      <c r="J70" s="57">
        <v>187.26166301709856</v>
      </c>
      <c r="K70" s="57">
        <v>40.5733538162429</v>
      </c>
      <c r="L70" s="57">
        <v>10.698865517877184</v>
      </c>
      <c r="M70" s="56">
        <v>8.8493334115959836</v>
      </c>
      <c r="N70" s="56">
        <v>1.9173552651500259</v>
      </c>
      <c r="O70" s="56">
        <v>4.5694299941613892E-2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8" t="s">
        <v>121</v>
      </c>
      <c r="B71" s="59">
        <v>5.9138278285418133</v>
      </c>
      <c r="C71" s="59">
        <v>8.208464816893196</v>
      </c>
      <c r="D71" s="59">
        <v>-2.2946369883513826</v>
      </c>
      <c r="E71" s="59">
        <v>0.42693149051012946</v>
      </c>
      <c r="F71" s="59">
        <v>0.48995511988414808</v>
      </c>
      <c r="G71" s="59">
        <v>-6.3023629374018619E-2</v>
      </c>
      <c r="H71" s="59">
        <v>0.22750596915756574</v>
      </c>
      <c r="I71" s="59">
        <v>-2.2683592399838831E-2</v>
      </c>
      <c r="J71" s="60">
        <v>168.31087758973447</v>
      </c>
      <c r="K71" s="60">
        <v>9.9536155173646641</v>
      </c>
      <c r="L71" s="60">
        <v>0.82890316767558758</v>
      </c>
      <c r="M71" s="59">
        <v>7.0173238455861195</v>
      </c>
      <c r="N71" s="59">
        <v>0.41499245039917254</v>
      </c>
      <c r="O71" s="59">
        <v>-6.4159381213651168E-2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58" t="s">
        <v>122</v>
      </c>
      <c r="B72" s="59">
        <v>14.990502208920791</v>
      </c>
      <c r="C72" s="59">
        <v>15.635526510908726</v>
      </c>
      <c r="D72" s="59">
        <v>-0.64502430198793426</v>
      </c>
      <c r="E72" s="59">
        <v>1.5053085870708258</v>
      </c>
      <c r="F72" s="59">
        <v>1.2467024986226645</v>
      </c>
      <c r="G72" s="59">
        <v>0.25860608844816135</v>
      </c>
      <c r="H72" s="59">
        <v>0.6617330428962247</v>
      </c>
      <c r="I72" s="59">
        <v>0.13706280319989517</v>
      </c>
      <c r="J72" s="60">
        <v>194.55468227506313</v>
      </c>
      <c r="K72" s="60">
        <v>29.164723944002162</v>
      </c>
      <c r="L72" s="60">
        <v>10.64836159771199</v>
      </c>
      <c r="M72" s="59">
        <v>9.6533576717788723</v>
      </c>
      <c r="N72" s="59">
        <v>1.4470867950230368</v>
      </c>
      <c r="O72" s="59">
        <v>0.23946059222337435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58" t="s">
        <v>123</v>
      </c>
      <c r="B73" s="59">
        <v>0.76233315592055717</v>
      </c>
      <c r="C73" s="59">
        <v>1.9856223471284264</v>
      </c>
      <c r="D73" s="59">
        <v>-1.2232891912078694</v>
      </c>
      <c r="E73" s="59">
        <v>5.6427611726434609E-2</v>
      </c>
      <c r="F73" s="59">
        <v>0.19143676080858207</v>
      </c>
      <c r="G73" s="59">
        <v>-0.13500914908214745</v>
      </c>
      <c r="H73" s="59">
        <v>3.2248682997666991E-2</v>
      </c>
      <c r="I73" s="59">
        <v>-3.6163523322126689E-2</v>
      </c>
      <c r="J73" s="60">
        <v>190.86331790450154</v>
      </c>
      <c r="K73" s="60">
        <v>1.4550143548760726</v>
      </c>
      <c r="L73" s="60">
        <v>-0.77839924751039535</v>
      </c>
      <c r="M73" s="59">
        <v>7.2509006460656735</v>
      </c>
      <c r="N73" s="59">
        <v>5.5276019727816525E-2</v>
      </c>
      <c r="O73" s="59">
        <v>-0.1296069110681094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55" t="s">
        <v>124</v>
      </c>
      <c r="B74" s="56">
        <v>0.73294451004406125</v>
      </c>
      <c r="C74" s="56">
        <v>5.563781792713419</v>
      </c>
      <c r="D74" s="56">
        <v>-4.830837282669358</v>
      </c>
      <c r="E74" s="56">
        <v>5.021149304913352E-2</v>
      </c>
      <c r="F74" s="56">
        <v>0.33673794780179955</v>
      </c>
      <c r="G74" s="56">
        <v>-0.28652645475266603</v>
      </c>
      <c r="H74" s="56">
        <v>3.684179037778005E-2</v>
      </c>
      <c r="I74" s="56">
        <v>-0.11798546029466309</v>
      </c>
      <c r="J74" s="57">
        <v>275.81875123882497</v>
      </c>
      <c r="K74" s="57">
        <v>2.0215983948770542</v>
      </c>
      <c r="L74" s="57">
        <v>-2.8067954521190601</v>
      </c>
      <c r="M74" s="56">
        <v>6.7275458384564324</v>
      </c>
      <c r="N74" s="56">
        <v>4.9309177883664138E-2</v>
      </c>
      <c r="O74" s="56">
        <v>-0.27815094414214331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125</v>
      </c>
      <c r="B75" s="64">
        <v>18.824928419365275</v>
      </c>
      <c r="C75" s="67" t="s">
        <v>14</v>
      </c>
      <c r="D75" s="64">
        <v>18.824928419365275</v>
      </c>
      <c r="E75" s="64">
        <v>0.75871142712301798</v>
      </c>
      <c r="F75" s="64" t="s">
        <v>14</v>
      </c>
      <c r="G75" s="64">
        <v>0.75871142712301798</v>
      </c>
      <c r="H75" s="64">
        <v>0.97878403342905873</v>
      </c>
      <c r="I75" s="64">
        <v>0.97878403342905873</v>
      </c>
      <c r="J75" s="65">
        <v>332.5809300114002</v>
      </c>
      <c r="K75" s="65">
        <v>62.6081220111055</v>
      </c>
      <c r="L75" s="65">
        <v>62.6081220111055</v>
      </c>
      <c r="M75" s="64">
        <v>3.8553868930089861</v>
      </c>
      <c r="N75" s="64">
        <v>0.72577382289853276</v>
      </c>
      <c r="O75" s="64">
        <v>0.72577382289853276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3" t="s">
        <v>126</v>
      </c>
      <c r="B76" s="64">
        <v>6.5414324139723394</v>
      </c>
      <c r="C76" s="67" t="s">
        <v>14</v>
      </c>
      <c r="D76" s="64">
        <v>6.5414324139723394</v>
      </c>
      <c r="E76" s="64">
        <v>1.615350437883525E-2</v>
      </c>
      <c r="F76" s="64" t="s">
        <v>14</v>
      </c>
      <c r="G76" s="64">
        <v>1.615350437883525E-2</v>
      </c>
      <c r="H76" s="64">
        <v>0.26713808739390216</v>
      </c>
      <c r="I76" s="64">
        <v>0.26713808739390216</v>
      </c>
      <c r="J76" s="65">
        <v>314.87992230664747</v>
      </c>
      <c r="K76" s="65">
        <v>20.597657302857957</v>
      </c>
      <c r="L76" s="65">
        <v>20.597657302857957</v>
      </c>
      <c r="M76" s="64">
        <v>4.5776981459939918</v>
      </c>
      <c r="N76" s="64">
        <v>0.29944703033586195</v>
      </c>
      <c r="O76" s="64">
        <v>0.29944703033586195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77" s="63" t="s">
        <v>127</v>
      </c>
      <c r="B77" s="64">
        <v>3.5699423516319344</v>
      </c>
      <c r="C77" s="67" t="s">
        <v>14</v>
      </c>
      <c r="D77" s="64">
        <v>3.5699423516319344</v>
      </c>
      <c r="E77" s="64">
        <v>0.18395436166068804</v>
      </c>
      <c r="F77" s="64" t="s">
        <v>14</v>
      </c>
      <c r="G77" s="64">
        <v>0.18395436166068804</v>
      </c>
      <c r="H77" s="64">
        <v>0.23029711815962181</v>
      </c>
      <c r="I77" s="64">
        <v>0.23029711815962181</v>
      </c>
      <c r="J77" s="65">
        <v>199.6292320328584</v>
      </c>
      <c r="K77" s="65">
        <v>7.1266485005785958</v>
      </c>
      <c r="L77" s="65">
        <v>7.1266485005785958</v>
      </c>
      <c r="M77" s="64">
        <v>3.4534648714989538</v>
      </c>
      <c r="N77" s="64">
        <v>0.1232867050463725</v>
      </c>
      <c r="O77" s="64">
        <v>0.1232867050463725</v>
      </c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78" s="63" t="s">
        <v>128</v>
      </c>
      <c r="B78" s="64">
        <v>8.3652477999267028</v>
      </c>
      <c r="C78" s="67" t="s">
        <v>14</v>
      </c>
      <c r="D78" s="64">
        <v>8.3652477999267028</v>
      </c>
      <c r="E78" s="64">
        <v>1.3576936532975292E-2</v>
      </c>
      <c r="F78" s="64" t="s">
        <v>14</v>
      </c>
      <c r="G78" s="64">
        <v>1.3576936532975292E-2</v>
      </c>
      <c r="H78" s="64">
        <v>6.2231760480775361E-2</v>
      </c>
      <c r="I78" s="64">
        <v>6.2231760480775361E-2</v>
      </c>
      <c r="J78" s="65">
        <v>-8.5688772615443817E-2</v>
      </c>
      <c r="K78" s="65">
        <v>-7.1680781659976102E-3</v>
      </c>
      <c r="L78" s="65">
        <v>-7.1680781659976102E-3</v>
      </c>
      <c r="M78" s="64">
        <v>7.5810816796611754E-4</v>
      </c>
      <c r="N78" s="64">
        <v>6.3417626841850283E-5</v>
      </c>
      <c r="O78" s="64">
        <v>6.3417626841850283E-5</v>
      </c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79" s="63" t="s">
        <v>129</v>
      </c>
      <c r="B79" s="64">
        <v>-22.098537058244023</v>
      </c>
      <c r="C79" s="67" t="s">
        <v>14</v>
      </c>
      <c r="D79" s="64">
        <v>-22.098537058244023</v>
      </c>
      <c r="E79" s="64">
        <v>-2.2098537058244021E-4</v>
      </c>
      <c r="F79" s="64" t="s">
        <v>14</v>
      </c>
      <c r="G79" s="64">
        <v>-2.2098537058244021E-4</v>
      </c>
      <c r="H79" s="64">
        <v>-0.17069169498596479</v>
      </c>
      <c r="I79" s="64">
        <v>-0.17069169498596479</v>
      </c>
      <c r="J79" s="65">
        <v>1.0000000000000002E-3</v>
      </c>
      <c r="K79" s="65">
        <v>-2.2098537058244021E-4</v>
      </c>
      <c r="L79" s="65">
        <v>-2.2098537058244021E-4</v>
      </c>
      <c r="M79" s="64">
        <v>1.0000000000000002E-3</v>
      </c>
      <c r="N79" s="64">
        <v>-2.2098537058244021E-4</v>
      </c>
      <c r="O79" s="64">
        <v>-2.2098537058244021E-4</v>
      </c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>
      <c r="A80" s="68" t="s">
        <v>37</v>
      </c>
      <c r="B80" s="69">
        <v>99.999999999999957</v>
      </c>
      <c r="C80" s="69">
        <v>100.00000000000013</v>
      </c>
      <c r="D80" s="69">
        <v>-1.7763568394002505E-13</v>
      </c>
      <c r="E80" s="69">
        <v>5.1112249650877155</v>
      </c>
      <c r="F80" s="69">
        <v>6.0434449650283319</v>
      </c>
      <c r="G80" s="69">
        <v>-0.93221999994061644</v>
      </c>
      <c r="H80" s="69">
        <v>4.2774712439017621</v>
      </c>
      <c r="I80" s="69">
        <v>1.7149412134653708</v>
      </c>
      <c r="J80" s="70">
        <v>178.8849228047236</v>
      </c>
      <c r="K80" s="70">
        <v>178.88492280472357</v>
      </c>
      <c r="L80" s="70">
        <v>136.45264849868335</v>
      </c>
      <c r="M80" s="69">
        <v>4.9218207686733697</v>
      </c>
      <c r="N80" s="69">
        <v>4.9218207686733697</v>
      </c>
      <c r="O80" s="69">
        <v>1.0064821849118633</v>
      </c>
    </row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51">
      <c r="A1" s="2" t="s">
        <v>0</v>
      </c>
      <c r="B1" s="3" t="s">
        <v>63</v>
      </c>
      <c r="C1" s="3" t="s">
        <v>2</v>
      </c>
    </row>
    <row r="2" spans="1:8">
      <c r="A2" s="4" t="s">
        <v>3</v>
      </c>
      <c r="B2" s="9">
        <v>5.6165594369090934</v>
      </c>
      <c r="C2" s="9">
        <v>6.0434449650283311</v>
      </c>
    </row>
    <row r="3" spans="1:8">
      <c r="A3" s="4" t="s">
        <v>4</v>
      </c>
      <c r="B3" s="10">
        <v>105.2400206701989</v>
      </c>
      <c r="C3" s="10">
        <v>42.432274306040277</v>
      </c>
    </row>
    <row r="4" spans="1:8">
      <c r="A4" s="4" t="s">
        <v>5</v>
      </c>
      <c r="B4" s="9">
        <v>4.6089832075306596</v>
      </c>
      <c r="C4" s="9">
        <v>3.9153385837615029</v>
      </c>
    </row>
    <row r="5" spans="1:8">
      <c r="A5" s="4" t="s">
        <v>6</v>
      </c>
      <c r="B5" s="9">
        <v>8.219024272133634</v>
      </c>
      <c r="C5" s="9">
        <v>8.0974581706531126</v>
      </c>
    </row>
    <row r="6" spans="1:8">
      <c r="A6" s="4" t="s">
        <v>7</v>
      </c>
      <c r="B6" s="9">
        <v>3.2968984054715071</v>
      </c>
      <c r="C6" s="9">
        <v>2.5663455010456451</v>
      </c>
    </row>
    <row r="7" spans="1:8">
      <c r="A7" s="4" t="s">
        <v>8</v>
      </c>
      <c r="B7" s="9">
        <v>3.2480189866050271</v>
      </c>
      <c r="C7" s="9">
        <v>2.5625300304363932</v>
      </c>
    </row>
    <row r="8" spans="1:8">
      <c r="A8" s="4" t="s">
        <v>9</v>
      </c>
      <c r="B8" s="9">
        <v>2.8362879100872771</v>
      </c>
      <c r="C8" s="9">
        <v>3.0752740867933048</v>
      </c>
    </row>
    <row r="9" spans="1:8">
      <c r="A9" s="4" t="s">
        <v>10</v>
      </c>
      <c r="B9" s="9" t="s">
        <v>64</v>
      </c>
      <c r="C9" s="9" t="s">
        <v>12</v>
      </c>
    </row>
    <row r="10" spans="1:8">
      <c r="A10" s="4" t="s">
        <v>13</v>
      </c>
      <c r="B10" s="39">
        <v>340079830.26065922</v>
      </c>
      <c r="C10" s="7" t="s">
        <v>14</v>
      </c>
    </row>
    <row r="11" spans="1:8">
      <c r="B11" s="1"/>
    </row>
    <row r="12" spans="1:8" ht="51">
      <c r="A12" s="5" t="s">
        <v>15</v>
      </c>
      <c r="B12" s="3" t="s">
        <v>63</v>
      </c>
      <c r="C12" s="3" t="s">
        <v>2</v>
      </c>
    </row>
    <row r="13" spans="1:8">
      <c r="A13" s="6" t="s">
        <v>16</v>
      </c>
      <c r="B13" s="9">
        <v>51.356468015270323</v>
      </c>
      <c r="C13" s="9">
        <v>71.440060046559566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1.8097333483155971</v>
      </c>
      <c r="C14" s="12">
        <v>4.1253122696163214</v>
      </c>
      <c r="E14" s="40" t="s">
        <v>22</v>
      </c>
      <c r="F14" s="41">
        <v>3.5028798287032113E-2</v>
      </c>
      <c r="G14" s="41">
        <v>2.30626870795477E-2</v>
      </c>
      <c r="H14" s="41">
        <v>1.196611120748442E-2</v>
      </c>
    </row>
    <row r="15" spans="1:8">
      <c r="A15" s="4" t="s">
        <v>23</v>
      </c>
      <c r="B15" s="9">
        <v>7.4003498018957918</v>
      </c>
      <c r="C15" s="12">
        <v>10.6613006861906</v>
      </c>
      <c r="E15" s="40" t="s">
        <v>24</v>
      </c>
      <c r="F15" s="41">
        <v>7.980343915654288E-2</v>
      </c>
      <c r="G15" s="41">
        <v>0.12020149987731051</v>
      </c>
      <c r="H15" s="41">
        <v>-4.0398060720767577E-2</v>
      </c>
    </row>
    <row r="16" spans="1:8">
      <c r="A16" s="4" t="s">
        <v>25</v>
      </c>
      <c r="B16" s="9">
        <v>21.109259736086059</v>
      </c>
      <c r="C16" s="12">
        <v>13.76354947266152</v>
      </c>
      <c r="E16" s="40" t="s">
        <v>26</v>
      </c>
      <c r="F16" s="41">
        <v>0.16498783105963519</v>
      </c>
      <c r="G16" s="41">
        <v>0.28423582329611552</v>
      </c>
      <c r="H16" s="41">
        <v>-0.1192479922364803</v>
      </c>
    </row>
    <row r="17" spans="1:8">
      <c r="A17" s="4" t="s">
        <v>27</v>
      </c>
      <c r="B17" s="9">
        <v>2.4904352921263921</v>
      </c>
      <c r="C17" s="12">
        <v>0</v>
      </c>
      <c r="E17" s="40" t="s">
        <v>28</v>
      </c>
      <c r="F17" s="41">
        <v>0.45691578154530549</v>
      </c>
      <c r="G17" s="41">
        <v>0.5519978313313868</v>
      </c>
      <c r="H17" s="41">
        <v>-9.5082049786081313E-2</v>
      </c>
    </row>
    <row r="18" spans="1:8">
      <c r="A18" s="4" t="s">
        <v>29</v>
      </c>
      <c r="B18" s="12">
        <v>13.899073317766129</v>
      </c>
      <c r="C18" s="12">
        <v>0</v>
      </c>
      <c r="E18" s="40" t="s">
        <v>30</v>
      </c>
      <c r="F18" s="41">
        <v>0.58392641482522467</v>
      </c>
      <c r="G18" s="41">
        <v>0.79566777171942982</v>
      </c>
      <c r="H18" s="41">
        <v>-0.21174135689420501</v>
      </c>
    </row>
    <row r="19" spans="1:8">
      <c r="A19" s="4" t="s">
        <v>31</v>
      </c>
      <c r="B19" s="12">
        <v>0.19287331805001329</v>
      </c>
      <c r="C19" s="12">
        <v>0</v>
      </c>
      <c r="E19" s="40" t="s">
        <v>32</v>
      </c>
      <c r="F19" s="41">
        <v>0.88470721331197755</v>
      </c>
      <c r="G19" s="41">
        <v>0.89059970641538899</v>
      </c>
      <c r="H19" s="41">
        <v>-5.8924931034116668E-3</v>
      </c>
    </row>
    <row r="20" spans="1:8">
      <c r="A20" s="4" t="s">
        <v>33</v>
      </c>
      <c r="B20" s="12">
        <v>0</v>
      </c>
      <c r="C20" s="12">
        <v>9.777524972079104E-3</v>
      </c>
      <c r="E20" s="40" t="s">
        <v>34</v>
      </c>
      <c r="F20" s="41">
        <v>1.3443353058292771</v>
      </c>
      <c r="G20" s="41">
        <v>0.76652644917813051</v>
      </c>
      <c r="H20" s="41">
        <v>0.57780885665114634</v>
      </c>
    </row>
    <row r="21" spans="1:8">
      <c r="A21" s="4" t="s">
        <v>35</v>
      </c>
      <c r="B21" s="12">
        <v>1.7418071704897431</v>
      </c>
      <c r="C21" s="12">
        <v>0</v>
      </c>
      <c r="E21" s="40" t="s">
        <v>36</v>
      </c>
      <c r="F21" s="41">
        <v>0.61701129671749211</v>
      </c>
      <c r="G21" s="41">
        <v>0.44217004280291572</v>
      </c>
      <c r="H21" s="41">
        <v>0.17484125391457639</v>
      </c>
    </row>
    <row r="22" spans="1:8">
      <c r="A22" s="2" t="s">
        <v>37</v>
      </c>
      <c r="B22" s="13">
        <f>SUM(B13:B21)</f>
        <v>100.00000000000006</v>
      </c>
      <c r="C22" s="13">
        <f>SUM(C13:C21)</f>
        <v>100.00000000000009</v>
      </c>
      <c r="E22" s="40" t="s">
        <v>38</v>
      </c>
      <c r="F22" s="41">
        <v>0.63325469533827228</v>
      </c>
      <c r="G22" s="41">
        <v>0.57934744814972716</v>
      </c>
      <c r="H22" s="41">
        <v>5.3907247188545122E-2</v>
      </c>
    </row>
    <row r="23" spans="1:8">
      <c r="A23" s="14"/>
      <c r="B23" s="15"/>
      <c r="C23" s="15"/>
      <c r="E23" s="40" t="s">
        <v>39</v>
      </c>
      <c r="F23" s="41">
        <v>0.39136642679645922</v>
      </c>
      <c r="G23" s="41">
        <v>0.92667732280285975</v>
      </c>
      <c r="H23" s="41">
        <v>-0.53531089600640047</v>
      </c>
    </row>
    <row r="24" spans="1:8">
      <c r="E24" s="40" t="s">
        <v>40</v>
      </c>
      <c r="F24" s="41">
        <v>0.42526545019313899</v>
      </c>
      <c r="G24" s="41">
        <v>0.6610396340434268</v>
      </c>
      <c r="H24" s="41">
        <v>-0.23577418385028781</v>
      </c>
    </row>
    <row r="25" spans="1:8" ht="51">
      <c r="A25" s="5" t="s">
        <v>41</v>
      </c>
      <c r="B25" s="3" t="s">
        <v>63</v>
      </c>
      <c r="C25" s="3" t="s">
        <v>2</v>
      </c>
    </row>
    <row r="26" spans="1:8">
      <c r="A26" s="6" t="s">
        <v>42</v>
      </c>
      <c r="B26" s="9">
        <v>4.1741404093841847</v>
      </c>
      <c r="C26" s="9">
        <v>3.1993477163689921</v>
      </c>
    </row>
    <row r="27" spans="1:8">
      <c r="A27" s="4" t="s">
        <v>43</v>
      </c>
      <c r="B27" s="9">
        <v>47.477891528727483</v>
      </c>
      <c r="C27" s="12">
        <v>71.000261793227381</v>
      </c>
    </row>
    <row r="28" spans="1:8">
      <c r="A28" s="4" t="s">
        <v>44</v>
      </c>
      <c r="B28" s="9">
        <v>5.8741799978048359</v>
      </c>
      <c r="C28" s="12">
        <v>10.218602983947321</v>
      </c>
    </row>
    <row r="29" spans="1:8">
      <c r="A29" s="4" t="s">
        <v>45</v>
      </c>
      <c r="B29" s="9">
        <v>20.834352498111802</v>
      </c>
      <c r="C29" s="12">
        <v>13.87462747255165</v>
      </c>
    </row>
    <row r="30" spans="1:8">
      <c r="A30" s="4" t="s">
        <v>46</v>
      </c>
      <c r="B30" s="9">
        <v>2.0394451675292711</v>
      </c>
      <c r="C30" s="12">
        <v>6.1691987088617443E-2</v>
      </c>
    </row>
    <row r="31" spans="1:8">
      <c r="A31" s="4" t="s">
        <v>47</v>
      </c>
      <c r="B31" s="12">
        <v>14.35006344236325</v>
      </c>
      <c r="C31" s="12">
        <v>0</v>
      </c>
    </row>
    <row r="32" spans="1:8">
      <c r="A32" s="4" t="s">
        <v>48</v>
      </c>
      <c r="B32" s="12">
        <v>0.19287331805001329</v>
      </c>
      <c r="C32" s="12">
        <v>0</v>
      </c>
    </row>
    <row r="33" spans="1:3">
      <c r="A33" s="4" t="s">
        <v>49</v>
      </c>
      <c r="B33" s="12">
        <v>3.3152464675394668</v>
      </c>
      <c r="C33" s="12">
        <v>1.645468046816092</v>
      </c>
    </row>
    <row r="34" spans="1:3">
      <c r="A34" s="4" t="s">
        <v>35</v>
      </c>
      <c r="B34" s="12">
        <v>1.7418071704897431</v>
      </c>
      <c r="C34" s="12">
        <v>0</v>
      </c>
    </row>
    <row r="35" spans="1:3">
      <c r="A35" s="2" t="s">
        <v>37</v>
      </c>
      <c r="B35" s="13">
        <f>SUM(B26:B34)</f>
        <v>100.00000000000006</v>
      </c>
      <c r="C35" s="13">
        <f>SUM(C26:C34)</f>
        <v>100.00000000000006</v>
      </c>
    </row>
    <row r="37" spans="1:3" ht="51">
      <c r="A37" s="5" t="s">
        <v>50</v>
      </c>
      <c r="B37" s="3" t="s">
        <v>63</v>
      </c>
      <c r="C37" s="3" t="s">
        <v>2</v>
      </c>
    </row>
    <row r="38" spans="1:3">
      <c r="A38" s="6" t="s">
        <v>51</v>
      </c>
      <c r="B38" s="9">
        <v>49.575224967543853</v>
      </c>
      <c r="C38" s="9">
        <v>71.283055386579747</v>
      </c>
    </row>
    <row r="39" spans="1:3">
      <c r="A39" s="4" t="s">
        <v>52</v>
      </c>
      <c r="B39" s="9">
        <v>1.934224164486593</v>
      </c>
      <c r="C39" s="12">
        <v>4.0727545135917316</v>
      </c>
    </row>
    <row r="40" spans="1:3">
      <c r="A40" s="4" t="s">
        <v>53</v>
      </c>
      <c r="B40" s="9">
        <v>6.9652150945760676</v>
      </c>
      <c r="C40" s="12">
        <v>10.40802726027602</v>
      </c>
    </row>
    <row r="41" spans="1:3">
      <c r="A41" s="4" t="s">
        <v>54</v>
      </c>
      <c r="B41" s="9">
        <v>20.41532584534713</v>
      </c>
      <c r="C41" s="12">
        <v>12.733564136050539</v>
      </c>
    </row>
    <row r="42" spans="1:3">
      <c r="A42" s="4" t="s">
        <v>55</v>
      </c>
      <c r="B42" s="9">
        <v>3.016517092748475</v>
      </c>
      <c r="C42" s="12">
        <v>0.76893806967724943</v>
      </c>
    </row>
    <row r="43" spans="1:3">
      <c r="A43" s="4" t="s">
        <v>56</v>
      </c>
      <c r="B43" s="12">
        <v>13.58323355033186</v>
      </c>
      <c r="C43" s="12">
        <v>2.269896606123251E-3</v>
      </c>
    </row>
    <row r="44" spans="1:3">
      <c r="A44" s="4" t="s">
        <v>58</v>
      </c>
      <c r="B44" s="12">
        <v>2.7684521144763221</v>
      </c>
      <c r="C44" s="12">
        <v>0.73139073721869419</v>
      </c>
    </row>
    <row r="45" spans="1:3">
      <c r="A45" s="4" t="s">
        <v>35</v>
      </c>
      <c r="B45" s="12">
        <v>1.7418071704897431</v>
      </c>
      <c r="C45" s="12">
        <v>0</v>
      </c>
    </row>
    <row r="46" spans="1:3">
      <c r="A46" s="4"/>
      <c r="B46" s="12"/>
      <c r="C46" s="12"/>
    </row>
    <row r="47" spans="1:3">
      <c r="A47" s="2" t="s">
        <v>37</v>
      </c>
      <c r="B47" s="13">
        <f>SUM(B38:B46)</f>
        <v>100.00000000000004</v>
      </c>
      <c r="C47" s="13">
        <f>SUM(C38:C46)</f>
        <v>100.00000000000009</v>
      </c>
    </row>
    <row r="49" spans="1:35" ht="51.75">
      <c r="Q49" s="16" t="s">
        <v>59</v>
      </c>
      <c r="R49" s="16" t="s">
        <v>63</v>
      </c>
      <c r="S49" s="16" t="s">
        <v>2</v>
      </c>
      <c r="T49" s="17" t="s">
        <v>60</v>
      </c>
      <c r="U49" s="18"/>
      <c r="V49" s="16" t="s">
        <v>59</v>
      </c>
      <c r="W49" s="16" t="s">
        <v>63</v>
      </c>
      <c r="X49" s="16" t="s">
        <v>2</v>
      </c>
      <c r="Y49" s="17" t="s">
        <v>60</v>
      </c>
      <c r="AA49" s="19" t="s">
        <v>61</v>
      </c>
      <c r="AB49" s="16" t="s">
        <v>63</v>
      </c>
      <c r="AC49" s="16" t="s">
        <v>2</v>
      </c>
      <c r="AD49" s="20" t="s">
        <v>60</v>
      </c>
      <c r="AE49" s="21"/>
      <c r="AF49" s="22" t="s">
        <v>62</v>
      </c>
      <c r="AG49" s="16" t="s">
        <v>63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17.445690316616627</v>
      </c>
      <c r="C52" s="53">
        <v>38.280373394762044</v>
      </c>
      <c r="D52" s="53">
        <v>-20.834683078145417</v>
      </c>
      <c r="E52" s="53">
        <v>1.3859853276487599</v>
      </c>
      <c r="F52" s="53">
        <v>2.3313901530361751</v>
      </c>
      <c r="G52" s="53">
        <v>-0.94540482538741522</v>
      </c>
      <c r="H52" s="53">
        <v>0.4222870767432515</v>
      </c>
      <c r="I52" s="53">
        <v>-0.28970652570906064</v>
      </c>
      <c r="J52" s="54">
        <v>5.4537235132568611</v>
      </c>
      <c r="K52" s="54">
        <v>0.95143971484729639</v>
      </c>
      <c r="L52" s="54">
        <v>0.61227500310082839</v>
      </c>
      <c r="M52" s="53">
        <v>0.27999057041386777</v>
      </c>
      <c r="N52" s="53">
        <v>4.8846287830131757E-2</v>
      </c>
      <c r="O52" s="53">
        <v>-3.6401593695046558E-2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1.8184864215897509</v>
      </c>
      <c r="C53" s="56">
        <v>2.2837246791452519</v>
      </c>
      <c r="D53" s="56">
        <v>-0.46523825755550097</v>
      </c>
      <c r="E53" s="56">
        <v>0.20186402501560349</v>
      </c>
      <c r="F53" s="56">
        <v>8.7108666114331115E-2</v>
      </c>
      <c r="G53" s="56">
        <v>0.11475535890127238</v>
      </c>
      <c r="H53" s="56">
        <v>5.3597342453841609E-2</v>
      </c>
      <c r="I53" s="56">
        <v>1.3884887723587751E-2</v>
      </c>
      <c r="J53" s="57">
        <v>43.890605833343564</v>
      </c>
      <c r="K53" s="57">
        <v>0.79814470743283206</v>
      </c>
      <c r="L53" s="57">
        <v>0.41138280932997939</v>
      </c>
      <c r="M53" s="56">
        <v>10.753664592777088</v>
      </c>
      <c r="N53" s="56">
        <v>0.19555393044295616</v>
      </c>
      <c r="O53" s="56">
        <v>0.11030604891777784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15.011077710672243</v>
      </c>
      <c r="C54" s="56">
        <v>35.996648715616793</v>
      </c>
      <c r="D54" s="56">
        <v>-20.985571004944546</v>
      </c>
      <c r="E54" s="56">
        <v>1.7919662694115766</v>
      </c>
      <c r="F54" s="56">
        <v>2.2442814869218441</v>
      </c>
      <c r="G54" s="56">
        <v>-0.4523152175102676</v>
      </c>
      <c r="H54" s="56">
        <v>0.441869081002006</v>
      </c>
      <c r="I54" s="56">
        <v>-0.23041206672005227</v>
      </c>
      <c r="J54" s="57">
        <v>0.80497134336095422</v>
      </c>
      <c r="K54" s="57">
        <v>0.1208348739005551</v>
      </c>
      <c r="L54" s="57">
        <v>0.16843206025693971</v>
      </c>
      <c r="M54" s="56">
        <v>-0.97732917942674724</v>
      </c>
      <c r="N54" s="56">
        <v>-0.1467076426128244</v>
      </c>
      <c r="O54" s="56">
        <v>-0.1467076426128244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4.0658524968621688</v>
      </c>
      <c r="C55" s="59">
        <v>35.996648715616793</v>
      </c>
      <c r="D55" s="59">
        <v>-31.930796218754619</v>
      </c>
      <c r="E55" s="59">
        <v>0.46034148003442799</v>
      </c>
      <c r="F55" s="59">
        <v>2.2442814869218441</v>
      </c>
      <c r="G55" s="59">
        <v>-1.7839400068874163</v>
      </c>
      <c r="H55" s="59">
        <v>0.10069037529324631</v>
      </c>
      <c r="I55" s="59">
        <v>-0.57159077242881196</v>
      </c>
      <c r="J55" s="60">
        <v>-1.4059618253537451</v>
      </c>
      <c r="K55" s="60">
        <v>-5.7164333981074157E-2</v>
      </c>
      <c r="L55" s="60">
        <v>-9.5671476246895343E-3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10.945225213810076</v>
      </c>
      <c r="C56" s="61" t="s">
        <v>14</v>
      </c>
      <c r="D56" s="59">
        <v>10.945225213810076</v>
      </c>
      <c r="E56" s="59">
        <v>1.0020556189660805</v>
      </c>
      <c r="F56" s="59" t="s">
        <v>14</v>
      </c>
      <c r="G56" s="59">
        <v>1.0020556189660805</v>
      </c>
      <c r="H56" s="59">
        <v>0.26465500125978836</v>
      </c>
      <c r="I56" s="59">
        <v>0.26465500125978836</v>
      </c>
      <c r="J56" s="60">
        <v>1.5986039348623065</v>
      </c>
      <c r="K56" s="60">
        <v>0.17497080094750914</v>
      </c>
      <c r="L56" s="60">
        <v>0.17497080094750914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0.47802974786364227</v>
      </c>
      <c r="F57" s="59" t="s">
        <v>14</v>
      </c>
      <c r="G57" s="59">
        <v>0.47802974786364227</v>
      </c>
      <c r="H57" s="59">
        <v>9.5998314329666698E-2</v>
      </c>
      <c r="I57" s="59">
        <v>9.5998314329666698E-2</v>
      </c>
      <c r="J57" s="60">
        <v>-1.1915592565495129E-2</v>
      </c>
      <c r="K57" s="60">
        <v>-7.8693594894064601E-4</v>
      </c>
      <c r="L57" s="60">
        <v>-7.8693594894064601E-4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-0.14846057745257416</v>
      </c>
      <c r="F58" s="59" t="s">
        <v>14</v>
      </c>
      <c r="G58" s="59">
        <v>-0.14846057745257416</v>
      </c>
      <c r="H58" s="59">
        <v>-1.9474609880695389E-2</v>
      </c>
      <c r="I58" s="59">
        <v>-1.9474609880695389E-2</v>
      </c>
      <c r="J58" s="60">
        <v>-0.24120295760334901</v>
      </c>
      <c r="K58" s="60">
        <v>3.815342883060758E-3</v>
      </c>
      <c r="L58" s="60">
        <v>3.815342883060758E-3</v>
      </c>
      <c r="M58" s="59">
        <v>9.2747410615007748</v>
      </c>
      <c r="N58" s="59">
        <v>-0.1467076426128244</v>
      </c>
      <c r="O58" s="59">
        <v>-0.1467076426128244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111</v>
      </c>
      <c r="B59" s="56">
        <v>0.6161261843546314</v>
      </c>
      <c r="C59" s="62" t="s">
        <v>14</v>
      </c>
      <c r="D59" s="56">
        <v>0.6161261843546314</v>
      </c>
      <c r="E59" s="56">
        <v>-0.60784496677842015</v>
      </c>
      <c r="F59" s="56" t="s">
        <v>14</v>
      </c>
      <c r="G59" s="56">
        <v>-0.60784496677842015</v>
      </c>
      <c r="H59" s="56">
        <v>-7.3179346712596099E-2</v>
      </c>
      <c r="I59" s="56">
        <v>-7.3179346712596099E-2</v>
      </c>
      <c r="J59" s="57">
        <v>5.2684229851243725</v>
      </c>
      <c r="K59" s="57">
        <v>3.2460133513909167E-2</v>
      </c>
      <c r="L59" s="57">
        <v>3.2460133513909167E-2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63" t="s">
        <v>112</v>
      </c>
      <c r="B60" s="64">
        <v>41.072097795060301</v>
      </c>
      <c r="C60" s="64">
        <v>30.326231137594228</v>
      </c>
      <c r="D60" s="64">
        <v>10.745866657466074</v>
      </c>
      <c r="E60" s="64">
        <v>1.5777618555466377</v>
      </c>
      <c r="F60" s="64">
        <v>1.4472224848749593</v>
      </c>
      <c r="G60" s="64">
        <v>0.13053937067167842</v>
      </c>
      <c r="H60" s="64">
        <v>1.1988712244991964</v>
      </c>
      <c r="I60" s="64">
        <v>0.34643405476109013</v>
      </c>
      <c r="J60" s="65">
        <v>58.042733339017467</v>
      </c>
      <c r="K60" s="65">
        <v>23.839368199927314</v>
      </c>
      <c r="L60" s="65">
        <v>16.449140750995404</v>
      </c>
      <c r="M60" s="64">
        <v>4.7652343230993548</v>
      </c>
      <c r="N60" s="64">
        <v>1.9571817013471464</v>
      </c>
      <c r="O60" s="64">
        <v>0.32621208634504062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113</v>
      </c>
      <c r="B61" s="56">
        <v>28.334359783411468</v>
      </c>
      <c r="C61" s="56">
        <v>28.100938891367893</v>
      </c>
      <c r="D61" s="56">
        <v>0.23342089204357319</v>
      </c>
      <c r="E61" s="56">
        <v>1.3482156115881243</v>
      </c>
      <c r="F61" s="56">
        <v>1.3393581882522141</v>
      </c>
      <c r="G61" s="56">
        <v>8.8574233359102195E-3</v>
      </c>
      <c r="H61" s="56">
        <v>0.81586861789814902</v>
      </c>
      <c r="I61" s="56">
        <v>2.0409564989997686E-2</v>
      </c>
      <c r="J61" s="57">
        <v>19.200627649546856</v>
      </c>
      <c r="K61" s="57">
        <v>5.4403749188957855</v>
      </c>
      <c r="L61" s="57">
        <v>-0.36801495030539133</v>
      </c>
      <c r="M61" s="56">
        <v>5.4585732886313574</v>
      </c>
      <c r="N61" s="56">
        <v>1.5466517946420038</v>
      </c>
      <c r="O61" s="56">
        <v>2.1781471126012253E-2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55" t="s">
        <v>114</v>
      </c>
      <c r="B62" s="56">
        <v>5.0525323235337281</v>
      </c>
      <c r="C62" s="62" t="s">
        <v>14</v>
      </c>
      <c r="D62" s="56">
        <v>5.0525323235337281</v>
      </c>
      <c r="E62" s="56">
        <v>4.2087594255035962E-3</v>
      </c>
      <c r="F62" s="56" t="s">
        <v>14</v>
      </c>
      <c r="G62" s="56">
        <v>4.2087594255035962E-3</v>
      </c>
      <c r="H62" s="56">
        <v>0.19410631847555376</v>
      </c>
      <c r="I62" s="56">
        <v>0.19410631847555376</v>
      </c>
      <c r="J62" s="57">
        <v>200.47133225364959</v>
      </c>
      <c r="K62" s="57">
        <v>10.128878861534341</v>
      </c>
      <c r="L62" s="57">
        <v>10.128878861534341</v>
      </c>
      <c r="M62" s="56">
        <v>3.59310916931104</v>
      </c>
      <c r="N62" s="56">
        <v>0.18154300219929448</v>
      </c>
      <c r="O62" s="56">
        <v>0.18154300219929448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115</v>
      </c>
      <c r="B63" s="56">
        <v>3.7549354720717689</v>
      </c>
      <c r="C63" s="56">
        <v>1.7066456783670221</v>
      </c>
      <c r="D63" s="56">
        <v>2.0482897937047468</v>
      </c>
      <c r="E63" s="56">
        <v>0.16155689666919773</v>
      </c>
      <c r="F63" s="56">
        <v>9.5279285065683714E-2</v>
      </c>
      <c r="G63" s="56">
        <v>6.6277611603514017E-2</v>
      </c>
      <c r="H63" s="56">
        <v>0.12755280970430855</v>
      </c>
      <c r="I63" s="56">
        <v>8.0562083385650018E-2</v>
      </c>
      <c r="J63" s="57">
        <v>170.75725959143949</v>
      </c>
      <c r="K63" s="57">
        <v>6.4118249115366357</v>
      </c>
      <c r="L63" s="57">
        <v>5.134467924168419</v>
      </c>
      <c r="M63" s="56">
        <v>4.2379817179795189</v>
      </c>
      <c r="N63" s="56">
        <v>0.15913347882832954</v>
      </c>
      <c r="O63" s="56">
        <v>6.5446254238598706E-2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116</v>
      </c>
      <c r="B64" s="56">
        <v>3.9302702160433398</v>
      </c>
      <c r="C64" s="56">
        <v>0.44305072411314528</v>
      </c>
      <c r="D64" s="56">
        <v>3.4872194919301944</v>
      </c>
      <c r="E64" s="56">
        <v>6.3780587863812133E-2</v>
      </c>
      <c r="F64" s="56">
        <v>1.0294854169898232E-2</v>
      </c>
      <c r="G64" s="56">
        <v>5.3485733693913899E-2</v>
      </c>
      <c r="H64" s="56">
        <v>6.1343478421184879E-2</v>
      </c>
      <c r="I64" s="56">
        <v>5.2933615128652169E-2</v>
      </c>
      <c r="J64" s="57">
        <v>47.281469359919043</v>
      </c>
      <c r="K64" s="57">
        <v>1.8582895079605553</v>
      </c>
      <c r="L64" s="57">
        <v>1.5970656088647486</v>
      </c>
      <c r="M64" s="56">
        <v>1.7773186533683443</v>
      </c>
      <c r="N64" s="56">
        <v>6.985342567751858E-2</v>
      </c>
      <c r="O64" s="56">
        <v>5.9705233194851014E-2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117</v>
      </c>
      <c r="B65" s="66" t="s">
        <v>14</v>
      </c>
      <c r="C65" s="56">
        <v>7.5595843746166236E-2</v>
      </c>
      <c r="D65" s="56">
        <v>-7.5595843746166236E-2</v>
      </c>
      <c r="E65" s="56" t="s">
        <v>14</v>
      </c>
      <c r="F65" s="56">
        <v>2.2901573871632326E-3</v>
      </c>
      <c r="G65" s="56">
        <v>-2.2901573871632326E-3</v>
      </c>
      <c r="H65" s="56" t="s">
        <v>14</v>
      </c>
      <c r="I65" s="56">
        <v>-1.5775272187636849E-3</v>
      </c>
      <c r="J65" s="57" t="s">
        <v>14</v>
      </c>
      <c r="K65" s="57" t="s">
        <v>14</v>
      </c>
      <c r="L65" s="57">
        <v>-4.3256693266710715E-2</v>
      </c>
      <c r="M65" s="56" t="s">
        <v>14</v>
      </c>
      <c r="N65" s="56" t="s">
        <v>14</v>
      </c>
      <c r="O65" s="56">
        <v>-2.263874413716024E-3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63" t="s">
        <v>119</v>
      </c>
      <c r="B66" s="64">
        <v>27.286948225397534</v>
      </c>
      <c r="C66" s="64">
        <v>31.393395467643735</v>
      </c>
      <c r="D66" s="64">
        <v>-4.1064472422462028</v>
      </c>
      <c r="E66" s="64">
        <v>2.1458244438701937</v>
      </c>
      <c r="F66" s="64">
        <v>2.2648323271171917</v>
      </c>
      <c r="G66" s="64">
        <v>-0.11900788324699807</v>
      </c>
      <c r="H66" s="64">
        <v>0.95826575009008019</v>
      </c>
      <c r="I66" s="64">
        <v>-3.9833508155889263E-2</v>
      </c>
      <c r="J66" s="65">
        <v>133.21730177122018</v>
      </c>
      <c r="K66" s="65">
        <v>36.350936161584464</v>
      </c>
      <c r="L66" s="65">
        <v>1.648054016222666</v>
      </c>
      <c r="M66" s="64">
        <v>7.6135238366808178</v>
      </c>
      <c r="N66" s="64">
        <v>2.077498307443395</v>
      </c>
      <c r="O66" s="64">
        <v>-0.12162277979082203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120</v>
      </c>
      <c r="B67" s="56">
        <v>26.791311212893319</v>
      </c>
      <c r="C67" s="56">
        <v>25.829613674930325</v>
      </c>
      <c r="D67" s="56">
        <v>0.96169753796299662</v>
      </c>
      <c r="E67" s="56">
        <v>2.092396608487495</v>
      </c>
      <c r="F67" s="56">
        <v>1.9280943793153926</v>
      </c>
      <c r="G67" s="56">
        <v>0.16430222917210235</v>
      </c>
      <c r="H67" s="56">
        <v>0.94086537186345209</v>
      </c>
      <c r="I67" s="56">
        <v>9.7593364289925599E-2</v>
      </c>
      <c r="J67" s="57">
        <v>133.93751838743677</v>
      </c>
      <c r="K67" s="57">
        <v>35.88361738200441</v>
      </c>
      <c r="L67" s="57">
        <v>6.0091290836387223</v>
      </c>
      <c r="M67" s="56">
        <v>7.5605888460165724</v>
      </c>
      <c r="N67" s="56">
        <v>2.0255808872635996</v>
      </c>
      <c r="O67" s="56">
        <v>0.15391992205518967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8" t="s">
        <v>121</v>
      </c>
      <c r="B68" s="59">
        <v>8.0698511082608402</v>
      </c>
      <c r="C68" s="59">
        <v>8.2084648168931853</v>
      </c>
      <c r="D68" s="59">
        <v>-0.1386137086323444</v>
      </c>
      <c r="E68" s="59">
        <v>0.42098300652986209</v>
      </c>
      <c r="F68" s="59">
        <v>0.48995511988414731</v>
      </c>
      <c r="G68" s="59">
        <v>-6.8972113354285214E-2</v>
      </c>
      <c r="H68" s="59">
        <v>0.23944077473267697</v>
      </c>
      <c r="I68" s="59">
        <v>-1.0748786824727213E-2</v>
      </c>
      <c r="J68" s="60">
        <v>107.53686115356935</v>
      </c>
      <c r="K68" s="60">
        <v>8.6780645815902382</v>
      </c>
      <c r="L68" s="60">
        <v>-0.44664776809882589</v>
      </c>
      <c r="M68" s="59">
        <v>5.1000038259834941</v>
      </c>
      <c r="N68" s="59">
        <v>0.41156271527247434</v>
      </c>
      <c r="O68" s="59">
        <v>-6.7589116340348532E-2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8" t="s">
        <v>122</v>
      </c>
      <c r="B69" s="59">
        <v>17.506792219686343</v>
      </c>
      <c r="C69" s="59">
        <v>15.635526510908711</v>
      </c>
      <c r="D69" s="59">
        <v>1.8712657087776308</v>
      </c>
      <c r="E69" s="59">
        <v>1.5440529358420343</v>
      </c>
      <c r="F69" s="59">
        <v>1.2467024986226634</v>
      </c>
      <c r="G69" s="59">
        <v>0.29735043721937093</v>
      </c>
      <c r="H69" s="59">
        <v>0.65900557173207386</v>
      </c>
      <c r="I69" s="59">
        <v>0.1343353320357451</v>
      </c>
      <c r="J69" s="60">
        <v>148.15346757113952</v>
      </c>
      <c r="K69" s="60">
        <v>25.936919733939781</v>
      </c>
      <c r="L69" s="60">
        <v>7.4205573876496231</v>
      </c>
      <c r="M69" s="59">
        <v>8.5199570813882897</v>
      </c>
      <c r="N69" s="59">
        <v>1.4915711834451006</v>
      </c>
      <c r="O69" s="59">
        <v>0.28394498064543927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8" t="s">
        <v>123</v>
      </c>
      <c r="B70" s="59">
        <v>1.2146678849461361</v>
      </c>
      <c r="C70" s="59">
        <v>1.9856223471284244</v>
      </c>
      <c r="D70" s="59">
        <v>-0.77095446218228814</v>
      </c>
      <c r="E70" s="59">
        <v>0.12736066611559849</v>
      </c>
      <c r="F70" s="59">
        <v>0.19143676080858188</v>
      </c>
      <c r="G70" s="59">
        <v>-6.4076094692983393E-2</v>
      </c>
      <c r="H70" s="59">
        <v>4.2419025398701259E-2</v>
      </c>
      <c r="I70" s="59">
        <v>-2.5993180921092367E-2</v>
      </c>
      <c r="J70" s="60">
        <v>104.44279314511111</v>
      </c>
      <c r="K70" s="60">
        <v>1.268633066474389</v>
      </c>
      <c r="L70" s="60">
        <v>-0.96478053591207669</v>
      </c>
      <c r="M70" s="59">
        <v>10.080696959519488</v>
      </c>
      <c r="N70" s="59">
        <v>0.1224469885460248</v>
      </c>
      <c r="O70" s="59">
        <v>-6.2435942249900969E-2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5" t="s">
        <v>124</v>
      </c>
      <c r="B71" s="56">
        <v>0.49563701250421438</v>
      </c>
      <c r="C71" s="56">
        <v>5.5637817927134146</v>
      </c>
      <c r="D71" s="56">
        <v>-5.0681447802092006</v>
      </c>
      <c r="E71" s="56">
        <v>5.3427835382698685E-2</v>
      </c>
      <c r="F71" s="56">
        <v>0.33673794780179922</v>
      </c>
      <c r="G71" s="56">
        <v>-0.28331011241910053</v>
      </c>
      <c r="H71" s="56">
        <v>1.7400378226628082E-2</v>
      </c>
      <c r="I71" s="56">
        <v>-0.13742687244581489</v>
      </c>
      <c r="J71" s="57">
        <v>94.286497535548506</v>
      </c>
      <c r="K71" s="57">
        <v>0.46731877958005247</v>
      </c>
      <c r="L71" s="57">
        <v>-4.3610750674160581</v>
      </c>
      <c r="M71" s="56">
        <v>10.474887643576407</v>
      </c>
      <c r="N71" s="56">
        <v>5.1917420179795212E-2</v>
      </c>
      <c r="O71" s="56">
        <v>-0.27554270184601187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3" t="s">
        <v>125</v>
      </c>
      <c r="B72" s="64">
        <v>13.416395146027851</v>
      </c>
      <c r="C72" s="67" t="s">
        <v>14</v>
      </c>
      <c r="D72" s="64">
        <v>13.416395146027851</v>
      </c>
      <c r="E72" s="64">
        <v>0.50525935850284132</v>
      </c>
      <c r="F72" s="64" t="s">
        <v>14</v>
      </c>
      <c r="G72" s="64">
        <v>0.50525935850284132</v>
      </c>
      <c r="H72" s="64">
        <v>0.69093100971873755</v>
      </c>
      <c r="I72" s="64">
        <v>0.69093100971873755</v>
      </c>
      <c r="J72" s="65">
        <v>334.22521572277304</v>
      </c>
      <c r="K72" s="65">
        <v>44.840975619031241</v>
      </c>
      <c r="L72" s="65">
        <v>44.840975619031241</v>
      </c>
      <c r="M72" s="64">
        <v>3.9078202301589826</v>
      </c>
      <c r="N72" s="64">
        <v>0.52428860367454422</v>
      </c>
      <c r="O72" s="64">
        <v>0.52428860367454422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63" t="s">
        <v>128</v>
      </c>
      <c r="B73" s="64">
        <v>5.5639891534780146</v>
      </c>
      <c r="C73" s="67" t="s">
        <v>14</v>
      </c>
      <c r="D73" s="64">
        <v>5.5639891534780146</v>
      </c>
      <c r="E73" s="64">
        <v>1.7763025470281246E-3</v>
      </c>
      <c r="F73" s="64" t="s">
        <v>14</v>
      </c>
      <c r="G73" s="64">
        <v>1.7763025470281246E-3</v>
      </c>
      <c r="H73" s="64">
        <v>1.5395550564449394E-2</v>
      </c>
      <c r="I73" s="64">
        <v>1.5395550564449394E-2</v>
      </c>
      <c r="J73" s="65">
        <v>-13.347459053201847</v>
      </c>
      <c r="K73" s="65">
        <v>-0.74265117398507008</v>
      </c>
      <c r="L73" s="65">
        <v>-0.74265117398507008</v>
      </c>
      <c r="M73" s="64">
        <v>2.1857670967068733E-2</v>
      </c>
      <c r="N73" s="64">
        <v>1.2161584418106176E-3</v>
      </c>
      <c r="O73" s="64">
        <v>1.2161584418106176E-3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129</v>
      </c>
      <c r="B74" s="64">
        <v>-4.7851206365802916</v>
      </c>
      <c r="C74" s="67" t="s">
        <v>14</v>
      </c>
      <c r="D74" s="64">
        <v>-4.7851206365802916</v>
      </c>
      <c r="E74" s="64">
        <v>-4.7851206365802925E-5</v>
      </c>
      <c r="F74" s="64" t="s">
        <v>14</v>
      </c>
      <c r="G74" s="64">
        <v>-4.7851206365802925E-5</v>
      </c>
      <c r="H74" s="64">
        <v>-3.7731625010689419E-2</v>
      </c>
      <c r="I74" s="64">
        <v>-3.7731625010689419E-2</v>
      </c>
      <c r="J74" s="65">
        <v>1E-3</v>
      </c>
      <c r="K74" s="65">
        <v>-4.7851206365802925E-5</v>
      </c>
      <c r="L74" s="65">
        <v>-4.7851206365802925E-5</v>
      </c>
      <c r="M74" s="64">
        <v>1E-3</v>
      </c>
      <c r="N74" s="64">
        <v>-4.7851206365802925E-5</v>
      </c>
      <c r="O74" s="64">
        <v>-4.7851206365802925E-5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8" t="s">
        <v>37</v>
      </c>
      <c r="B75" s="69">
        <v>100.00000000000004</v>
      </c>
      <c r="C75" s="69">
        <v>100</v>
      </c>
      <c r="D75" s="69">
        <v>4.4408920985006262E-14</v>
      </c>
      <c r="E75" s="69">
        <v>5.6165594369090943</v>
      </c>
      <c r="F75" s="69">
        <v>6.0434449650283266</v>
      </c>
      <c r="G75" s="69">
        <v>-0.4268855281192323</v>
      </c>
      <c r="H75" s="69">
        <v>3.2480189866050253</v>
      </c>
      <c r="I75" s="69">
        <v>0.68548895616863748</v>
      </c>
      <c r="J75" s="70">
        <v>105.24002067019882</v>
      </c>
      <c r="K75" s="70">
        <v>105.24002067019887</v>
      </c>
      <c r="L75" s="70">
        <v>62.807746364158696</v>
      </c>
      <c r="M75" s="69">
        <v>4.6089832075306587</v>
      </c>
      <c r="N75" s="69">
        <v>4.6089832075306614</v>
      </c>
      <c r="O75" s="69">
        <v>0.69364462376916025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65</v>
      </c>
      <c r="C1" s="3" t="s">
        <v>2</v>
      </c>
    </row>
    <row r="2" spans="1:8">
      <c r="A2" s="4" t="s">
        <v>3</v>
      </c>
      <c r="B2" s="9">
        <v>5.7863727188475238</v>
      </c>
      <c r="C2" s="9">
        <v>6.0434449650283319</v>
      </c>
    </row>
    <row r="3" spans="1:8">
      <c r="A3" s="4" t="s">
        <v>4</v>
      </c>
      <c r="B3" s="10">
        <v>50.41424191729962</v>
      </c>
      <c r="C3" s="10">
        <v>42.43227430604027</v>
      </c>
    </row>
    <row r="4" spans="1:8">
      <c r="A4" s="4" t="s">
        <v>5</v>
      </c>
      <c r="B4" s="9">
        <v>4.0169458918015248</v>
      </c>
      <c r="C4" s="9">
        <v>3.9153385837615051</v>
      </c>
    </row>
    <row r="5" spans="1:8">
      <c r="A5" s="4" t="s">
        <v>6</v>
      </c>
      <c r="B5" s="9">
        <v>7.6728255081567616</v>
      </c>
      <c r="C5" s="9">
        <v>8.0974581706531144</v>
      </c>
    </row>
    <row r="6" spans="1:8">
      <c r="A6" s="4" t="s">
        <v>7</v>
      </c>
      <c r="B6" s="9">
        <v>2.6190362167988179</v>
      </c>
      <c r="C6" s="9">
        <v>2.5663455010456451</v>
      </c>
    </row>
    <row r="7" spans="1:8">
      <c r="A7" s="4" t="s">
        <v>8</v>
      </c>
      <c r="B7" s="9">
        <v>2.617613892318901</v>
      </c>
      <c r="C7" s="9">
        <v>2.5625300304363932</v>
      </c>
    </row>
    <row r="8" spans="1:8">
      <c r="A8" s="4" t="s">
        <v>9</v>
      </c>
      <c r="B8" s="9">
        <v>2.6804412439593608</v>
      </c>
      <c r="C8" s="9">
        <v>3.0752740867932</v>
      </c>
    </row>
    <row r="9" spans="1:8">
      <c r="A9" s="4" t="s">
        <v>10</v>
      </c>
      <c r="B9" s="9" t="s">
        <v>66</v>
      </c>
      <c r="C9" s="9" t="s">
        <v>12</v>
      </c>
    </row>
    <row r="10" spans="1:8">
      <c r="A10" s="4" t="s">
        <v>13</v>
      </c>
      <c r="B10" s="39">
        <v>533283614.05847669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65</v>
      </c>
      <c r="C12" s="3" t="s">
        <v>2</v>
      </c>
    </row>
    <row r="13" spans="1:8">
      <c r="A13" s="6" t="s">
        <v>16</v>
      </c>
      <c r="B13" s="9">
        <v>65.920079810664461</v>
      </c>
      <c r="C13" s="9">
        <v>71.440060046559552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3.0423612111885938</v>
      </c>
      <c r="C14" s="12">
        <v>4.1253122696163196</v>
      </c>
      <c r="E14" s="40" t="s">
        <v>22</v>
      </c>
      <c r="F14" s="41">
        <v>3.9193178259419099E-2</v>
      </c>
      <c r="G14" s="41">
        <v>2.30626870795477E-2</v>
      </c>
      <c r="H14" s="41">
        <v>1.6130491179871399E-2</v>
      </c>
    </row>
    <row r="15" spans="1:8">
      <c r="A15" s="4" t="s">
        <v>23</v>
      </c>
      <c r="B15" s="9">
        <v>8.0649965756541313</v>
      </c>
      <c r="C15" s="12">
        <v>10.661300686190589</v>
      </c>
      <c r="E15" s="40" t="s">
        <v>24</v>
      </c>
      <c r="F15" s="41">
        <v>0.14696670613492291</v>
      </c>
      <c r="G15" s="41">
        <v>0.12020149987731051</v>
      </c>
      <c r="H15" s="41">
        <v>2.6765206257612442E-2</v>
      </c>
    </row>
    <row r="16" spans="1:8">
      <c r="A16" s="4" t="s">
        <v>25</v>
      </c>
      <c r="B16" s="9">
        <v>16.564140469793472</v>
      </c>
      <c r="C16" s="12">
        <v>13.763549472661531</v>
      </c>
      <c r="E16" s="40" t="s">
        <v>26</v>
      </c>
      <c r="F16" s="41">
        <v>0.15444195701450539</v>
      </c>
      <c r="G16" s="41">
        <v>0.28423582329611552</v>
      </c>
      <c r="H16" s="41">
        <v>-0.12979386628161019</v>
      </c>
    </row>
    <row r="17" spans="1:8">
      <c r="A17" s="4" t="s">
        <v>27</v>
      </c>
      <c r="B17" s="9">
        <v>6.025272824860127E-2</v>
      </c>
      <c r="C17" s="12">
        <v>0</v>
      </c>
      <c r="E17" s="40" t="s">
        <v>28</v>
      </c>
      <c r="F17" s="41">
        <v>0.42790668253771852</v>
      </c>
      <c r="G17" s="41">
        <v>0.55199783133138669</v>
      </c>
      <c r="H17" s="41">
        <v>-0.1240911487936681</v>
      </c>
    </row>
    <row r="18" spans="1:8">
      <c r="A18" s="4" t="s">
        <v>31</v>
      </c>
      <c r="B18" s="12">
        <v>0.26983787652708668</v>
      </c>
      <c r="C18" s="12">
        <v>0</v>
      </c>
      <c r="E18" s="40" t="s">
        <v>30</v>
      </c>
      <c r="F18" s="41">
        <v>0.64577967067581166</v>
      </c>
      <c r="G18" s="41">
        <v>0.79566777171942982</v>
      </c>
      <c r="H18" s="41">
        <v>-0.14988810104361799</v>
      </c>
    </row>
    <row r="19" spans="1:8">
      <c r="A19" s="4" t="s">
        <v>33</v>
      </c>
      <c r="B19" s="12">
        <v>0</v>
      </c>
      <c r="C19" s="12">
        <v>9.777524972079104E-3</v>
      </c>
      <c r="E19" s="40" t="s">
        <v>32</v>
      </c>
      <c r="F19" s="41">
        <v>0.95747263339031985</v>
      </c>
      <c r="G19" s="41">
        <v>0.8905997064153891</v>
      </c>
      <c r="H19" s="41">
        <v>6.6872926974930746E-2</v>
      </c>
    </row>
    <row r="20" spans="1:8">
      <c r="A20" s="4" t="s">
        <v>35</v>
      </c>
      <c r="B20" s="12">
        <v>6.0783313279236841</v>
      </c>
      <c r="C20" s="12">
        <v>0</v>
      </c>
      <c r="E20" s="40" t="s">
        <v>34</v>
      </c>
      <c r="F20" s="41">
        <v>1.2468010317492511</v>
      </c>
      <c r="G20" s="41">
        <v>0.76652644917813051</v>
      </c>
      <c r="H20" s="41">
        <v>0.48027458257112082</v>
      </c>
    </row>
    <row r="21" spans="1:8">
      <c r="A21" s="4"/>
      <c r="B21" s="12"/>
      <c r="C21" s="12"/>
      <c r="E21" s="40" t="s">
        <v>36</v>
      </c>
      <c r="F21" s="41">
        <v>0.50446966208150479</v>
      </c>
      <c r="G21" s="41">
        <v>0.44217004280291572</v>
      </c>
      <c r="H21" s="41">
        <v>6.2299619278589118E-2</v>
      </c>
    </row>
    <row r="22" spans="1:8">
      <c r="A22" s="2" t="s">
        <v>37</v>
      </c>
      <c r="B22" s="13">
        <f>SUM(B13:B21)</f>
        <v>100.00000000000003</v>
      </c>
      <c r="C22" s="13">
        <f>SUM(C13:C21)</f>
        <v>100.00000000000007</v>
      </c>
      <c r="E22" s="40" t="s">
        <v>38</v>
      </c>
      <c r="F22" s="41">
        <v>0.80393863903148566</v>
      </c>
      <c r="G22" s="41">
        <v>0.57934744814972705</v>
      </c>
      <c r="H22" s="41">
        <v>0.22459119088175869</v>
      </c>
    </row>
    <row r="23" spans="1:8">
      <c r="A23" s="14"/>
      <c r="B23" s="15"/>
      <c r="C23" s="15"/>
      <c r="E23" s="40" t="s">
        <v>39</v>
      </c>
      <c r="F23" s="41">
        <v>0.53939087077625925</v>
      </c>
      <c r="G23" s="41">
        <v>0.92667732280285942</v>
      </c>
      <c r="H23" s="41">
        <v>-0.38728645202660023</v>
      </c>
    </row>
    <row r="24" spans="1:8">
      <c r="E24" s="40" t="s">
        <v>40</v>
      </c>
      <c r="F24" s="41">
        <v>0.32001936292593741</v>
      </c>
      <c r="G24" s="41">
        <v>0.66103963404342658</v>
      </c>
      <c r="H24" s="41">
        <v>-0.34102027111748912</v>
      </c>
    </row>
    <row r="25" spans="1:8" ht="25.5">
      <c r="A25" s="5" t="s">
        <v>41</v>
      </c>
      <c r="B25" s="3" t="s">
        <v>65</v>
      </c>
      <c r="C25" s="3" t="s">
        <v>2</v>
      </c>
    </row>
    <row r="26" spans="1:8">
      <c r="A26" s="6" t="s">
        <v>42</v>
      </c>
      <c r="B26" s="9">
        <v>6.540293252210164</v>
      </c>
      <c r="C26" s="9">
        <v>3.199347716368993</v>
      </c>
    </row>
    <row r="27" spans="1:8">
      <c r="A27" s="4" t="s">
        <v>43</v>
      </c>
      <c r="B27" s="9">
        <v>60.126252828437629</v>
      </c>
      <c r="C27" s="12">
        <v>71.000261793227352</v>
      </c>
    </row>
    <row r="28" spans="1:8">
      <c r="A28" s="4" t="s">
        <v>44</v>
      </c>
      <c r="B28" s="9">
        <v>5.6814751334540006</v>
      </c>
      <c r="C28" s="12">
        <v>10.218602983947321</v>
      </c>
    </row>
    <row r="29" spans="1:8">
      <c r="A29" s="4" t="s">
        <v>45</v>
      </c>
      <c r="B29" s="9">
        <v>18.61167178484104</v>
      </c>
      <c r="C29" s="12">
        <v>13.874627472551641</v>
      </c>
    </row>
    <row r="30" spans="1:8">
      <c r="A30" s="4" t="s">
        <v>46</v>
      </c>
      <c r="B30" s="9">
        <v>0</v>
      </c>
      <c r="C30" s="12">
        <v>6.1691987088617457E-2</v>
      </c>
    </row>
    <row r="31" spans="1:8">
      <c r="A31" s="4" t="s">
        <v>48</v>
      </c>
      <c r="B31" s="12">
        <v>0.26983787652708668</v>
      </c>
      <c r="C31" s="12">
        <v>0</v>
      </c>
    </row>
    <row r="32" spans="1:8">
      <c r="A32" s="4" t="s">
        <v>49</v>
      </c>
      <c r="B32" s="12">
        <v>2.6921377966063949</v>
      </c>
      <c r="C32" s="12">
        <v>1.645468046816092</v>
      </c>
    </row>
    <row r="33" spans="1:3">
      <c r="A33" s="4" t="s">
        <v>35</v>
      </c>
      <c r="B33" s="12">
        <v>6.0783313279236841</v>
      </c>
      <c r="C33" s="12">
        <v>0</v>
      </c>
    </row>
    <row r="34" spans="1:3">
      <c r="A34" s="4"/>
      <c r="B34" s="12"/>
      <c r="C34" s="12"/>
    </row>
    <row r="35" spans="1:3">
      <c r="A35" s="2" t="s">
        <v>37</v>
      </c>
      <c r="B35" s="13">
        <f>SUM(B26:B34)</f>
        <v>99.999999999999986</v>
      </c>
      <c r="C35" s="13">
        <f>SUM(C26:C34)</f>
        <v>100.00000000000001</v>
      </c>
    </row>
    <row r="37" spans="1:3" ht="25.5">
      <c r="A37" s="5" t="s">
        <v>50</v>
      </c>
      <c r="B37" s="3" t="s">
        <v>65</v>
      </c>
      <c r="C37" s="3" t="s">
        <v>2</v>
      </c>
    </row>
    <row r="38" spans="1:3">
      <c r="A38" s="6" t="s">
        <v>51</v>
      </c>
      <c r="B38" s="9">
        <v>62.9434906984918</v>
      </c>
      <c r="C38" s="9">
        <v>71.283055386579676</v>
      </c>
    </row>
    <row r="39" spans="1:3">
      <c r="A39" s="4" t="s">
        <v>52</v>
      </c>
      <c r="B39" s="9">
        <v>2.5236028771448278</v>
      </c>
      <c r="C39" s="12">
        <v>4.0727545135917316</v>
      </c>
    </row>
    <row r="40" spans="1:3">
      <c r="A40" s="4" t="s">
        <v>53</v>
      </c>
      <c r="B40" s="9">
        <v>7.7591284554656772</v>
      </c>
      <c r="C40" s="12">
        <v>10.40802726027602</v>
      </c>
    </row>
    <row r="41" spans="1:3">
      <c r="A41" s="4" t="s">
        <v>54</v>
      </c>
      <c r="B41" s="9">
        <v>15.16891242854604</v>
      </c>
      <c r="C41" s="12">
        <v>12.73356413605053</v>
      </c>
    </row>
    <row r="42" spans="1:3">
      <c r="A42" s="4" t="s">
        <v>55</v>
      </c>
      <c r="B42" s="9">
        <v>1.252886371509756</v>
      </c>
      <c r="C42" s="12">
        <v>0.76893806967724931</v>
      </c>
    </row>
    <row r="43" spans="1:3">
      <c r="A43" s="4" t="s">
        <v>56</v>
      </c>
      <c r="B43" s="12">
        <v>0</v>
      </c>
      <c r="C43" s="12">
        <v>2.2698966061232501E-3</v>
      </c>
    </row>
    <row r="44" spans="1:3">
      <c r="A44" s="4" t="s">
        <v>57</v>
      </c>
      <c r="B44" s="12">
        <v>0.26983787652708668</v>
      </c>
      <c r="C44" s="12">
        <v>0</v>
      </c>
    </row>
    <row r="45" spans="1:3">
      <c r="A45" s="4" t="s">
        <v>58</v>
      </c>
      <c r="B45" s="12">
        <v>4.0038099643911469</v>
      </c>
      <c r="C45" s="12">
        <v>0.7313907372186943</v>
      </c>
    </row>
    <row r="46" spans="1:3">
      <c r="A46" s="4" t="s">
        <v>35</v>
      </c>
      <c r="B46" s="12">
        <v>6.0783313279236841</v>
      </c>
      <c r="C46" s="12">
        <v>0</v>
      </c>
    </row>
    <row r="47" spans="1:3">
      <c r="A47" s="2" t="s">
        <v>37</v>
      </c>
      <c r="B47" s="13">
        <f>SUM(B38:B46)</f>
        <v>100.00000000000001</v>
      </c>
      <c r="C47" s="13">
        <f>SUM(C38:C46)</f>
        <v>100.00000000000001</v>
      </c>
    </row>
    <row r="49" spans="1:35" ht="26.25">
      <c r="Q49" s="16" t="s">
        <v>59</v>
      </c>
      <c r="R49" s="16" t="s">
        <v>65</v>
      </c>
      <c r="S49" s="16" t="s">
        <v>2</v>
      </c>
      <c r="T49" s="17" t="s">
        <v>60</v>
      </c>
      <c r="U49" s="18"/>
      <c r="V49" s="16" t="s">
        <v>59</v>
      </c>
      <c r="W49" s="16" t="s">
        <v>65</v>
      </c>
      <c r="X49" s="16" t="s">
        <v>2</v>
      </c>
      <c r="Y49" s="17" t="s">
        <v>60</v>
      </c>
      <c r="AA49" s="19" t="s">
        <v>61</v>
      </c>
      <c r="AB49" s="16" t="s">
        <v>65</v>
      </c>
      <c r="AC49" s="16" t="s">
        <v>2</v>
      </c>
      <c r="AD49" s="20" t="s">
        <v>60</v>
      </c>
      <c r="AE49" s="21"/>
      <c r="AF49" s="22" t="s">
        <v>62</v>
      </c>
      <c r="AG49" s="16" t="s">
        <v>65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24.376349339565031</v>
      </c>
      <c r="C52" s="53">
        <v>38.280373394762037</v>
      </c>
      <c r="D52" s="53">
        <v>-13.904024055197009</v>
      </c>
      <c r="E52" s="53">
        <v>2.0045789412277459</v>
      </c>
      <c r="F52" s="53">
        <v>2.3313901530361734</v>
      </c>
      <c r="G52" s="53">
        <v>-0.32681121180842743</v>
      </c>
      <c r="H52" s="53">
        <v>0.55354580519124408</v>
      </c>
      <c r="I52" s="53">
        <v>-0.15844779726106795</v>
      </c>
      <c r="J52" s="54">
        <v>2.9476314715938861</v>
      </c>
      <c r="K52" s="54">
        <v>0.71852494475868722</v>
      </c>
      <c r="L52" s="54">
        <v>0.37936023301221899</v>
      </c>
      <c r="M52" s="53">
        <v>0.6504586210428871</v>
      </c>
      <c r="N52" s="53">
        <v>0.15855806577473161</v>
      </c>
      <c r="O52" s="53">
        <v>7.3310184249553267E-2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1.5540402472443173</v>
      </c>
      <c r="C53" s="56">
        <v>2.2837246791452528</v>
      </c>
      <c r="D53" s="56">
        <v>-0.72968443190093535</v>
      </c>
      <c r="E53" s="56">
        <v>0.16470212986889601</v>
      </c>
      <c r="F53" s="56">
        <v>8.7108666114331143E-2</v>
      </c>
      <c r="G53" s="56">
        <v>7.759346375456487E-2</v>
      </c>
      <c r="H53" s="56">
        <v>4.5188252789037875E-2</v>
      </c>
      <c r="I53" s="56">
        <v>5.4757980587840094E-3</v>
      </c>
      <c r="J53" s="57">
        <v>42.153575713551227</v>
      </c>
      <c r="K53" s="57">
        <v>0.65508353224119198</v>
      </c>
      <c r="L53" s="57">
        <v>0.26832163413833915</v>
      </c>
      <c r="M53" s="56">
        <v>10.202957488127655</v>
      </c>
      <c r="N53" s="56">
        <v>0.15855806577473161</v>
      </c>
      <c r="O53" s="56">
        <v>7.3310184249553267E-2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22.822309092320715</v>
      </c>
      <c r="C54" s="56">
        <v>35.996648715616786</v>
      </c>
      <c r="D54" s="56">
        <v>-13.174339623296072</v>
      </c>
      <c r="E54" s="56">
        <v>1.8398768113588497</v>
      </c>
      <c r="F54" s="56">
        <v>2.2442814869218424</v>
      </c>
      <c r="G54" s="56">
        <v>-0.40440467556299264</v>
      </c>
      <c r="H54" s="56">
        <v>0.50835755240220615</v>
      </c>
      <c r="I54" s="56">
        <v>-0.16392359531985201</v>
      </c>
      <c r="J54" s="57">
        <v>0.27797981466670318</v>
      </c>
      <c r="K54" s="57">
        <v>6.3441412517495299E-2</v>
      </c>
      <c r="L54" s="57">
        <v>0.11103859887387993</v>
      </c>
      <c r="M54" s="56" t="s">
        <v>14</v>
      </c>
      <c r="N54" s="56" t="s">
        <v>14</v>
      </c>
      <c r="O54" s="56" t="s">
        <v>14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15.474326365879786</v>
      </c>
      <c r="C55" s="59">
        <v>35.996648715616786</v>
      </c>
      <c r="D55" s="59">
        <v>-20.522322349736999</v>
      </c>
      <c r="E55" s="59">
        <v>1.1850340602721556</v>
      </c>
      <c r="F55" s="59">
        <v>2.2442814869218424</v>
      </c>
      <c r="G55" s="59">
        <v>-1.0592474266496867</v>
      </c>
      <c r="H55" s="59">
        <v>0.33243685304463472</v>
      </c>
      <c r="I55" s="59">
        <v>-0.33984429467742344</v>
      </c>
      <c r="J55" s="60">
        <v>-0.13053840207775291</v>
      </c>
      <c r="K55" s="60">
        <v>-2.0199938370315848E-2</v>
      </c>
      <c r="L55" s="60">
        <v>2.7397247986068782E-2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7.3479827264409288</v>
      </c>
      <c r="C56" s="61" t="s">
        <v>14</v>
      </c>
      <c r="D56" s="59">
        <v>7.3479827264409288</v>
      </c>
      <c r="E56" s="59">
        <v>0.6548427510866941</v>
      </c>
      <c r="F56" s="59" t="s">
        <v>14</v>
      </c>
      <c r="G56" s="59">
        <v>0.6548427510866941</v>
      </c>
      <c r="H56" s="59">
        <v>0.17592069935757146</v>
      </c>
      <c r="I56" s="59">
        <v>0.17592069935757146</v>
      </c>
      <c r="J56" s="60">
        <v>1.1382899770141908</v>
      </c>
      <c r="K56" s="60">
        <v>8.3641350887811147E-2</v>
      </c>
      <c r="L56" s="60">
        <v>8.3641350887811147E-2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63" t="s">
        <v>112</v>
      </c>
      <c r="B57" s="64">
        <v>38.164910083197924</v>
      </c>
      <c r="C57" s="64">
        <v>30.326231137594235</v>
      </c>
      <c r="D57" s="64">
        <v>7.8386789456036885</v>
      </c>
      <c r="E57" s="64">
        <v>1.5753928532642341</v>
      </c>
      <c r="F57" s="64">
        <v>1.4472224848749595</v>
      </c>
      <c r="G57" s="64">
        <v>0.12817036838927454</v>
      </c>
      <c r="H57" s="64">
        <v>1.0348643703157179</v>
      </c>
      <c r="I57" s="64">
        <v>0.18242720057761153</v>
      </c>
      <c r="J57" s="65">
        <v>40.083226655114125</v>
      </c>
      <c r="K57" s="65">
        <v>15.297727411368722</v>
      </c>
      <c r="L57" s="65">
        <v>7.9074999624368099</v>
      </c>
      <c r="M57" s="64">
        <v>4.7341744123998586</v>
      </c>
      <c r="N57" s="64">
        <v>1.8067934076741696</v>
      </c>
      <c r="O57" s="64">
        <v>0.17582379267206338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5" t="s">
        <v>113</v>
      </c>
      <c r="B58" s="56">
        <v>28.38408533382723</v>
      </c>
      <c r="C58" s="56">
        <v>28.1009388913679</v>
      </c>
      <c r="D58" s="56">
        <v>0.28314644245933107</v>
      </c>
      <c r="E58" s="56">
        <v>1.3460627859049439</v>
      </c>
      <c r="F58" s="56">
        <v>1.3393581882522143</v>
      </c>
      <c r="G58" s="56">
        <v>6.7045976527295714E-3</v>
      </c>
      <c r="H58" s="56">
        <v>0.81684599891711218</v>
      </c>
      <c r="I58" s="56">
        <v>2.1386946008960739E-2</v>
      </c>
      <c r="J58" s="57">
        <v>20.204034010669595</v>
      </c>
      <c r="K58" s="57">
        <v>5.7347302544639316</v>
      </c>
      <c r="L58" s="57">
        <v>-7.3659614737247026E-2</v>
      </c>
      <c r="M58" s="56">
        <v>5.461090331396659</v>
      </c>
      <c r="N58" s="56">
        <v>1.550080539821016</v>
      </c>
      <c r="O58" s="56">
        <v>2.5210216305024069E-2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130</v>
      </c>
      <c r="B59" s="56">
        <v>9.3605383296064271E-3</v>
      </c>
      <c r="C59" s="62" t="s">
        <v>14</v>
      </c>
      <c r="D59" s="56">
        <v>9.3605383296064271E-3</v>
      </c>
      <c r="E59" s="56">
        <v>2.2676332863359313E-5</v>
      </c>
      <c r="F59" s="56" t="s">
        <v>14</v>
      </c>
      <c r="G59" s="56">
        <v>2.2676332863359313E-5</v>
      </c>
      <c r="H59" s="56">
        <v>2.8099612552191604E-4</v>
      </c>
      <c r="I59" s="56">
        <v>2.8099612552191604E-4</v>
      </c>
      <c r="J59" s="57">
        <v>94.125813019311678</v>
      </c>
      <c r="K59" s="57">
        <v>8.810682805726347E-3</v>
      </c>
      <c r="L59" s="57">
        <v>8.810682805726347E-3</v>
      </c>
      <c r="M59" s="56">
        <v>4.5331480901467129</v>
      </c>
      <c r="N59" s="56">
        <v>4.2432706451600479E-4</v>
      </c>
      <c r="O59" s="56">
        <v>4.2432706451600479E-4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114</v>
      </c>
      <c r="B60" s="56">
        <v>0.33543815980430586</v>
      </c>
      <c r="C60" s="62" t="s">
        <v>14</v>
      </c>
      <c r="D60" s="56">
        <v>0.33543815980430586</v>
      </c>
      <c r="E60" s="56">
        <v>3.5739564192816095E-4</v>
      </c>
      <c r="F60" s="56" t="s">
        <v>14</v>
      </c>
      <c r="G60" s="56">
        <v>3.5739564192816095E-4</v>
      </c>
      <c r="H60" s="56">
        <v>1.5480075240533946E-2</v>
      </c>
      <c r="I60" s="56">
        <v>1.5480075240533946E-2</v>
      </c>
      <c r="J60" s="57">
        <v>290.04976528427778</v>
      </c>
      <c r="K60" s="57">
        <v>0.97293759518628975</v>
      </c>
      <c r="L60" s="57">
        <v>0.97293759518628975</v>
      </c>
      <c r="M60" s="56">
        <v>2.323074109575936</v>
      </c>
      <c r="N60" s="56">
        <v>7.792477044051783E-3</v>
      </c>
      <c r="O60" s="56">
        <v>7.792477044051783E-3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115</v>
      </c>
      <c r="B61" s="56">
        <v>4.1655547857415405</v>
      </c>
      <c r="C61" s="56">
        <v>1.7066456783670212</v>
      </c>
      <c r="D61" s="56">
        <v>2.4589091073745193</v>
      </c>
      <c r="E61" s="56">
        <v>0.15753287899803736</v>
      </c>
      <c r="F61" s="56">
        <v>9.5279285065683686E-2</v>
      </c>
      <c r="G61" s="56">
        <v>6.2253593932353676E-2</v>
      </c>
      <c r="H61" s="56">
        <v>0.12447933330473204</v>
      </c>
      <c r="I61" s="56">
        <v>7.7488606986073544E-2</v>
      </c>
      <c r="J61" s="57">
        <v>145.7091251506466</v>
      </c>
      <c r="K61" s="57">
        <v>6.0695934359748884</v>
      </c>
      <c r="L61" s="57">
        <v>4.7922364486066726</v>
      </c>
      <c r="M61" s="56">
        <v>4.1050675709694833</v>
      </c>
      <c r="N61" s="56">
        <v>0.17099883866044327</v>
      </c>
      <c r="O61" s="56">
        <v>7.7311614070712464E-2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55" t="s">
        <v>116</v>
      </c>
      <c r="B62" s="56">
        <v>5.2704712654952388</v>
      </c>
      <c r="C62" s="56">
        <v>0.44305072411314528</v>
      </c>
      <c r="D62" s="56">
        <v>4.8274205413820939</v>
      </c>
      <c r="E62" s="56">
        <v>7.1417116386461157E-2</v>
      </c>
      <c r="F62" s="56">
        <v>1.0294854169898232E-2</v>
      </c>
      <c r="G62" s="56">
        <v>6.1122262216562924E-2</v>
      </c>
      <c r="H62" s="56">
        <v>7.7777966727817768E-2</v>
      </c>
      <c r="I62" s="56">
        <v>6.9368103435285058E-2</v>
      </c>
      <c r="J62" s="57">
        <v>47.655234540053549</v>
      </c>
      <c r="K62" s="57">
        <v>2.5116554429378848</v>
      </c>
      <c r="L62" s="57">
        <v>2.2504315438420779</v>
      </c>
      <c r="M62" s="56">
        <v>1.4704040906455955</v>
      </c>
      <c r="N62" s="56">
        <v>7.7497225084142696E-2</v>
      </c>
      <c r="O62" s="56">
        <v>6.7349032601475123E-2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117</v>
      </c>
      <c r="B63" s="66" t="s">
        <v>14</v>
      </c>
      <c r="C63" s="56">
        <v>7.5595843746166236E-2</v>
      </c>
      <c r="D63" s="56">
        <v>-7.5595843746166236E-2</v>
      </c>
      <c r="E63" s="56" t="s">
        <v>14</v>
      </c>
      <c r="F63" s="56">
        <v>2.2901573871632335E-3</v>
      </c>
      <c r="G63" s="56">
        <v>-2.2901573871632335E-3</v>
      </c>
      <c r="H63" s="56" t="s">
        <v>14</v>
      </c>
      <c r="I63" s="56">
        <v>-1.5775272187636851E-3</v>
      </c>
      <c r="J63" s="57" t="s">
        <v>14</v>
      </c>
      <c r="K63" s="57" t="s">
        <v>14</v>
      </c>
      <c r="L63" s="57">
        <v>-4.3256693266710722E-2</v>
      </c>
      <c r="M63" s="56" t="s">
        <v>14</v>
      </c>
      <c r="N63" s="56" t="s">
        <v>14</v>
      </c>
      <c r="O63" s="56">
        <v>-2.263874413716024E-3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63" t="s">
        <v>119</v>
      </c>
      <c r="B64" s="64">
        <v>28.063056219668493</v>
      </c>
      <c r="C64" s="64">
        <v>31.393395467643735</v>
      </c>
      <c r="D64" s="64">
        <v>-3.3303392479752447</v>
      </c>
      <c r="E64" s="64">
        <v>2.1159767154079741</v>
      </c>
      <c r="F64" s="64">
        <v>2.2648323271171913</v>
      </c>
      <c r="G64" s="64">
        <v>-0.14885561170921724</v>
      </c>
      <c r="H64" s="64">
        <v>0.94636347424792389</v>
      </c>
      <c r="I64" s="64">
        <v>-5.1735783998045792E-2</v>
      </c>
      <c r="J64" s="65">
        <v>122.6856893794849</v>
      </c>
      <c r="K64" s="65">
        <v>34.429353984052703</v>
      </c>
      <c r="L64" s="65">
        <v>-0.27352816130909474</v>
      </c>
      <c r="M64" s="64">
        <v>7.3106866124023124</v>
      </c>
      <c r="N64" s="64">
        <v>2.0516020940822388</v>
      </c>
      <c r="O64" s="64">
        <v>-0.14751899315197825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120</v>
      </c>
      <c r="B65" s="56">
        <v>27.562227937526586</v>
      </c>
      <c r="C65" s="56">
        <v>25.829613674930325</v>
      </c>
      <c r="D65" s="56">
        <v>1.7326142625962604</v>
      </c>
      <c r="E65" s="56">
        <v>2.0619630066351085</v>
      </c>
      <c r="F65" s="56">
        <v>1.9280943793153922</v>
      </c>
      <c r="G65" s="56">
        <v>0.13386862731971627</v>
      </c>
      <c r="H65" s="56">
        <v>0.92877213844404372</v>
      </c>
      <c r="I65" s="56">
        <v>8.5500130870516999E-2</v>
      </c>
      <c r="J65" s="57">
        <v>123.19942805712411</v>
      </c>
      <c r="K65" s="57">
        <v>33.956507178833625</v>
      </c>
      <c r="L65" s="57">
        <v>4.0820188804679383</v>
      </c>
      <c r="M65" s="56">
        <v>7.2531013881397559</v>
      </c>
      <c r="N65" s="56">
        <v>1.9991163371389842</v>
      </c>
      <c r="O65" s="56">
        <v>0.12745537193057421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8" t="s">
        <v>121</v>
      </c>
      <c r="B66" s="59">
        <v>8.6641456910700523</v>
      </c>
      <c r="C66" s="59">
        <v>8.2084648168931871</v>
      </c>
      <c r="D66" s="59">
        <v>0.45568087417686559</v>
      </c>
      <c r="E66" s="59">
        <v>0.41858528254852251</v>
      </c>
      <c r="F66" s="59">
        <v>0.48995511988414731</v>
      </c>
      <c r="G66" s="59">
        <v>-7.1369837335624797E-2</v>
      </c>
      <c r="H66" s="59">
        <v>0.25650226984341618</v>
      </c>
      <c r="I66" s="59">
        <v>6.3127082860118811E-3</v>
      </c>
      <c r="J66" s="60">
        <v>110.27995007085697</v>
      </c>
      <c r="K66" s="60">
        <v>9.5548155421783605</v>
      </c>
      <c r="L66" s="60">
        <v>0.4301031924892964</v>
      </c>
      <c r="M66" s="59">
        <v>4.7409520136680605</v>
      </c>
      <c r="N66" s="59">
        <v>0.41076298960792007</v>
      </c>
      <c r="O66" s="59">
        <v>-6.8388842004902806E-2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8" t="s">
        <v>122</v>
      </c>
      <c r="B67" s="59">
        <v>16.84041991969422</v>
      </c>
      <c r="C67" s="59">
        <v>15.635526510908711</v>
      </c>
      <c r="D67" s="59">
        <v>1.2048934087855068</v>
      </c>
      <c r="E67" s="59">
        <v>1.3948646772496021</v>
      </c>
      <c r="F67" s="59">
        <v>1.2467024986226631</v>
      </c>
      <c r="G67" s="59">
        <v>0.14816217862693892</v>
      </c>
      <c r="H67" s="59">
        <v>0.59737209496804089</v>
      </c>
      <c r="I67" s="59">
        <v>7.2701855271712135E-2</v>
      </c>
      <c r="J67" s="60">
        <v>132.58932265988165</v>
      </c>
      <c r="K67" s="60">
        <v>22.328598704602349</v>
      </c>
      <c r="L67" s="60">
        <v>3.8122363583121945</v>
      </c>
      <c r="M67" s="59">
        <v>8.0178726738636108</v>
      </c>
      <c r="N67" s="59">
        <v>1.350243426905047</v>
      </c>
      <c r="O67" s="59">
        <v>0.1426172241053858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8" t="s">
        <v>123</v>
      </c>
      <c r="B68" s="59">
        <v>2.0576623267623093</v>
      </c>
      <c r="C68" s="59">
        <v>1.9856223471284247</v>
      </c>
      <c r="D68" s="59">
        <v>7.203997963388456E-2</v>
      </c>
      <c r="E68" s="59">
        <v>0.248513046836984</v>
      </c>
      <c r="F68" s="59">
        <v>0.19143676080858185</v>
      </c>
      <c r="G68" s="59">
        <v>5.7076286028402146E-2</v>
      </c>
      <c r="H68" s="59">
        <v>7.4897773632586678E-2</v>
      </c>
      <c r="I68" s="59">
        <v>6.485567312793053E-3</v>
      </c>
      <c r="J68" s="60">
        <v>100.7499095011807</v>
      </c>
      <c r="K68" s="60">
        <v>2.0730929320529152</v>
      </c>
      <c r="L68" s="60">
        <v>-0.16032067033355002</v>
      </c>
      <c r="M68" s="59">
        <v>11.5718656812208</v>
      </c>
      <c r="N68" s="59">
        <v>0.23810992062601702</v>
      </c>
      <c r="O68" s="59">
        <v>5.3226989830091248E-2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5" t="s">
        <v>124</v>
      </c>
      <c r="B69" s="56">
        <v>0.50082828214190489</v>
      </c>
      <c r="C69" s="56">
        <v>5.5637817927134154</v>
      </c>
      <c r="D69" s="56">
        <v>-5.0629535105715107</v>
      </c>
      <c r="E69" s="56">
        <v>5.401370877286546E-2</v>
      </c>
      <c r="F69" s="56">
        <v>0.33673794780179911</v>
      </c>
      <c r="G69" s="56">
        <v>-0.28272423902893362</v>
      </c>
      <c r="H69" s="56">
        <v>1.7591335803880212E-2</v>
      </c>
      <c r="I69" s="56">
        <v>-0.13723591486856274</v>
      </c>
      <c r="J69" s="57">
        <v>94.412959906505876</v>
      </c>
      <c r="K69" s="57">
        <v>0.47284680521907879</v>
      </c>
      <c r="L69" s="57">
        <v>-4.3555470417770321</v>
      </c>
      <c r="M69" s="56">
        <v>10.479790941275795</v>
      </c>
      <c r="N69" s="56">
        <v>5.2485756943254525E-2</v>
      </c>
      <c r="O69" s="56">
        <v>-0.27497436508255257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63" t="s">
        <v>128</v>
      </c>
      <c r="B70" s="64">
        <v>16.241588647063001</v>
      </c>
      <c r="C70" s="67" t="s">
        <v>14</v>
      </c>
      <c r="D70" s="64">
        <v>16.241588647063001</v>
      </c>
      <c r="E70" s="64">
        <v>9.0492667990461267E-2</v>
      </c>
      <c r="F70" s="64" t="s">
        <v>14</v>
      </c>
      <c r="G70" s="64">
        <v>9.0492667990461267E-2</v>
      </c>
      <c r="H70" s="64">
        <v>0.13684689691340735</v>
      </c>
      <c r="I70" s="64">
        <v>0.13684689691340735</v>
      </c>
      <c r="J70" s="65">
        <v>-0.19269028737079516</v>
      </c>
      <c r="K70" s="65">
        <v>-3.1295963837608153E-2</v>
      </c>
      <c r="L70" s="65">
        <v>-3.1295963837608153E-2</v>
      </c>
      <c r="M70" s="64">
        <v>3.7424487591753163E-4</v>
      </c>
      <c r="N70" s="64">
        <v>6.0783313279236839E-5</v>
      </c>
      <c r="O70" s="64">
        <v>6.0783313279236839E-5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3" t="s">
        <v>129</v>
      </c>
      <c r="B71" s="64">
        <v>-6.8459042894943991</v>
      </c>
      <c r="C71" s="67" t="s">
        <v>14</v>
      </c>
      <c r="D71" s="64">
        <v>-6.8459042894943991</v>
      </c>
      <c r="E71" s="64">
        <v>-6.8459042894944002E-5</v>
      </c>
      <c r="F71" s="64" t="s">
        <v>14</v>
      </c>
      <c r="G71" s="64">
        <v>-6.8459042894944002E-5</v>
      </c>
      <c r="H71" s="64">
        <v>-5.400665434939237E-2</v>
      </c>
      <c r="I71" s="64">
        <v>-5.400665434939237E-2</v>
      </c>
      <c r="J71" s="65">
        <v>1E-3</v>
      </c>
      <c r="K71" s="65">
        <v>-6.8459042894944002E-5</v>
      </c>
      <c r="L71" s="65">
        <v>-6.8459042894944002E-5</v>
      </c>
      <c r="M71" s="64">
        <v>1E-3</v>
      </c>
      <c r="N71" s="64">
        <v>-6.8459042894944002E-5</v>
      </c>
      <c r="O71" s="64">
        <v>-6.8459042894944002E-5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8" t="s">
        <v>37</v>
      </c>
      <c r="B72" s="69">
        <v>100.00000000000004</v>
      </c>
      <c r="C72" s="69">
        <v>100.00000000000003</v>
      </c>
      <c r="D72" s="69">
        <v>2.2204460492503131E-14</v>
      </c>
      <c r="E72" s="69">
        <v>5.7863727188475202</v>
      </c>
      <c r="F72" s="69">
        <v>6.0434449650283248</v>
      </c>
      <c r="G72" s="69">
        <v>-0.2570722461808046</v>
      </c>
      <c r="H72" s="69">
        <v>2.617613892318901</v>
      </c>
      <c r="I72" s="69">
        <v>5.5083861882512686E-2</v>
      </c>
      <c r="J72" s="70">
        <v>50.414241917299584</v>
      </c>
      <c r="K72" s="70">
        <v>50.414241917299606</v>
      </c>
      <c r="L72" s="70">
        <v>7.981967611259428</v>
      </c>
      <c r="M72" s="69">
        <v>4.0169458918015222</v>
      </c>
      <c r="N72" s="69">
        <v>4.0169458918015248</v>
      </c>
      <c r="O72" s="69">
        <v>0.10160730804002283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67</v>
      </c>
      <c r="C1" s="3" t="s">
        <v>2</v>
      </c>
    </row>
    <row r="2" spans="1:8">
      <c r="A2" s="4" t="s">
        <v>3</v>
      </c>
      <c r="B2" s="9">
        <v>6.0540237923680316</v>
      </c>
      <c r="C2" s="9">
        <v>6.0434449650283106</v>
      </c>
    </row>
    <row r="3" spans="1:8">
      <c r="A3" s="4" t="s">
        <v>4</v>
      </c>
      <c r="B3" s="10">
        <v>47.680282356983739</v>
      </c>
      <c r="C3" s="10">
        <v>42.432274306040092</v>
      </c>
    </row>
    <row r="4" spans="1:8">
      <c r="A4" s="4" t="s">
        <v>5</v>
      </c>
      <c r="B4" s="9">
        <v>4.0682906649683508</v>
      </c>
      <c r="C4" s="9">
        <v>3.9153385837614918</v>
      </c>
    </row>
    <row r="5" spans="1:8">
      <c r="A5" s="4" t="s">
        <v>6</v>
      </c>
      <c r="B5" s="9">
        <v>8.0538816629084291</v>
      </c>
      <c r="C5" s="9">
        <v>8.0974581706530877</v>
      </c>
    </row>
    <row r="6" spans="1:8">
      <c r="A6" s="4" t="s">
        <v>7</v>
      </c>
      <c r="B6" s="9">
        <v>2.6154232300876359</v>
      </c>
      <c r="C6" s="9">
        <v>2.566345501045638</v>
      </c>
    </row>
    <row r="7" spans="1:8">
      <c r="A7" s="4" t="s">
        <v>8</v>
      </c>
      <c r="B7" s="9">
        <v>2.6134119713068968</v>
      </c>
      <c r="C7" s="9">
        <v>2.5625300304363861</v>
      </c>
    </row>
    <row r="8" spans="1:8">
      <c r="A8" s="4" t="s">
        <v>9</v>
      </c>
      <c r="B8" s="9">
        <v>3.0146573179606699</v>
      </c>
      <c r="C8" s="9">
        <v>3.0752740867933182</v>
      </c>
    </row>
    <row r="9" spans="1:8">
      <c r="A9" s="4" t="s">
        <v>10</v>
      </c>
      <c r="B9" s="9" t="s">
        <v>66</v>
      </c>
      <c r="C9" s="9" t="s">
        <v>12</v>
      </c>
    </row>
    <row r="10" spans="1:8">
      <c r="A10" s="4" t="s">
        <v>13</v>
      </c>
      <c r="B10" s="39">
        <v>2199252401.7972078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67</v>
      </c>
      <c r="C12" s="3" t="s">
        <v>2</v>
      </c>
    </row>
    <row r="13" spans="1:8">
      <c r="A13" s="6" t="s">
        <v>16</v>
      </c>
      <c r="B13" s="9">
        <v>61.696872798964343</v>
      </c>
      <c r="C13" s="9">
        <v>71.44006004655931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2.5070266064748838</v>
      </c>
      <c r="C14" s="12">
        <v>4.1253122696163009</v>
      </c>
      <c r="E14" s="40" t="s">
        <v>22</v>
      </c>
      <c r="F14" s="41">
        <v>1.862912294951791E-2</v>
      </c>
      <c r="G14" s="41">
        <v>2.3062687079547631E-2</v>
      </c>
      <c r="H14" s="41">
        <v>-4.433564130029724E-3</v>
      </c>
    </row>
    <row r="15" spans="1:8">
      <c r="A15" s="4" t="s">
        <v>23</v>
      </c>
      <c r="B15" s="9">
        <v>11.096562298556851</v>
      </c>
      <c r="C15" s="12">
        <v>10.66130068619054</v>
      </c>
      <c r="E15" s="40" t="s">
        <v>24</v>
      </c>
      <c r="F15" s="41">
        <v>0.10208517137011761</v>
      </c>
      <c r="G15" s="41">
        <v>0.1202014998773101</v>
      </c>
      <c r="H15" s="41">
        <v>-1.8116328507192501E-2</v>
      </c>
    </row>
    <row r="16" spans="1:8">
      <c r="A16" s="4" t="s">
        <v>25</v>
      </c>
      <c r="B16" s="9">
        <v>18.5776630720224</v>
      </c>
      <c r="C16" s="12">
        <v>13.76354947266147</v>
      </c>
      <c r="E16" s="40" t="s">
        <v>26</v>
      </c>
      <c r="F16" s="41">
        <v>0.29972000325584219</v>
      </c>
      <c r="G16" s="41">
        <v>0.28423582329611452</v>
      </c>
      <c r="H16" s="41">
        <v>1.5484179959727619E-2</v>
      </c>
    </row>
    <row r="17" spans="1:8">
      <c r="A17" s="4" t="s">
        <v>29</v>
      </c>
      <c r="B17" s="9">
        <v>1.979092913817735E-3</v>
      </c>
      <c r="C17" s="12">
        <v>0</v>
      </c>
      <c r="E17" s="40" t="s">
        <v>28</v>
      </c>
      <c r="F17" s="41">
        <v>0.54678883200551098</v>
      </c>
      <c r="G17" s="41">
        <v>0.55199783133138525</v>
      </c>
      <c r="H17" s="41">
        <v>-5.2089993258740419E-3</v>
      </c>
    </row>
    <row r="18" spans="1:8">
      <c r="A18" s="4" t="s">
        <v>33</v>
      </c>
      <c r="B18" s="12">
        <v>0</v>
      </c>
      <c r="C18" s="12">
        <v>9.7775249720790536E-3</v>
      </c>
      <c r="E18" s="40" t="s">
        <v>30</v>
      </c>
      <c r="F18" s="41">
        <v>0.80387250726791892</v>
      </c>
      <c r="G18" s="41">
        <v>0.79566777171942737</v>
      </c>
      <c r="H18" s="41">
        <v>8.2047355484917706E-3</v>
      </c>
    </row>
    <row r="19" spans="1:8">
      <c r="A19" s="4" t="s">
        <v>35</v>
      </c>
      <c r="B19" s="12">
        <v>6.1198961310676614</v>
      </c>
      <c r="C19" s="12">
        <v>0</v>
      </c>
      <c r="E19" s="40" t="s">
        <v>32</v>
      </c>
      <c r="F19" s="41">
        <v>0.84047447299307665</v>
      </c>
      <c r="G19" s="41">
        <v>0.89059970641538699</v>
      </c>
      <c r="H19" s="41">
        <v>-5.0125233422310338E-2</v>
      </c>
    </row>
    <row r="20" spans="1:8">
      <c r="A20" s="4"/>
      <c r="B20" s="12"/>
      <c r="C20" s="12"/>
      <c r="E20" s="40" t="s">
        <v>34</v>
      </c>
      <c r="F20" s="41">
        <v>0.81993479051984808</v>
      </c>
      <c r="G20" s="41">
        <v>0.76652644917812818</v>
      </c>
      <c r="H20" s="41">
        <v>5.3408341341719789E-2</v>
      </c>
    </row>
    <row r="21" spans="1:8">
      <c r="A21" s="4"/>
      <c r="B21" s="12"/>
      <c r="C21" s="12"/>
      <c r="E21" s="40" t="s">
        <v>36</v>
      </c>
      <c r="F21" s="41">
        <v>0.42776722048001792</v>
      </c>
      <c r="G21" s="41">
        <v>0.44217004280291389</v>
      </c>
      <c r="H21" s="41">
        <v>-1.440282232289603E-2</v>
      </c>
    </row>
    <row r="22" spans="1:8">
      <c r="A22" s="2" t="s">
        <v>37</v>
      </c>
      <c r="B22" s="13">
        <f>SUM(B13:B21)</f>
        <v>99.999999999999957</v>
      </c>
      <c r="C22" s="13">
        <f>SUM(C13:C21)</f>
        <v>99.999999999999702</v>
      </c>
      <c r="E22" s="40" t="s">
        <v>38</v>
      </c>
      <c r="F22" s="41">
        <v>0.59772622331803338</v>
      </c>
      <c r="G22" s="41">
        <v>0.5793474481497245</v>
      </c>
      <c r="H22" s="41">
        <v>1.8378775168308881E-2</v>
      </c>
    </row>
    <row r="23" spans="1:8">
      <c r="A23" s="14"/>
      <c r="B23" s="15"/>
      <c r="C23" s="15"/>
      <c r="E23" s="40" t="s">
        <v>39</v>
      </c>
      <c r="F23" s="41">
        <v>0.92366769579227981</v>
      </c>
      <c r="G23" s="41">
        <v>0.92667732280285586</v>
      </c>
      <c r="H23" s="41">
        <v>-3.0096270105759442E-3</v>
      </c>
    </row>
    <row r="24" spans="1:8">
      <c r="E24" s="40" t="s">
        <v>40</v>
      </c>
      <c r="F24" s="41">
        <v>0.67337536594228542</v>
      </c>
      <c r="G24" s="41">
        <v>0.66103963404342381</v>
      </c>
      <c r="H24" s="41">
        <v>1.23357318988615E-2</v>
      </c>
    </row>
    <row r="25" spans="1:8" ht="25.5">
      <c r="A25" s="5" t="s">
        <v>41</v>
      </c>
      <c r="B25" s="3" t="s">
        <v>67</v>
      </c>
      <c r="C25" s="3" t="s">
        <v>2</v>
      </c>
    </row>
    <row r="26" spans="1:8">
      <c r="A26" s="6" t="s">
        <v>42</v>
      </c>
      <c r="B26" s="9">
        <v>1.0191636209752131</v>
      </c>
      <c r="C26" s="9">
        <v>3.199347716368981</v>
      </c>
    </row>
    <row r="27" spans="1:8">
      <c r="A27" s="4" t="s">
        <v>43</v>
      </c>
      <c r="B27" s="9">
        <v>59.788280680176989</v>
      </c>
      <c r="C27" s="12">
        <v>71.000261793227196</v>
      </c>
    </row>
    <row r="28" spans="1:8">
      <c r="A28" s="4" t="s">
        <v>44</v>
      </c>
      <c r="B28" s="9">
        <v>8.9613139270926698</v>
      </c>
      <c r="C28" s="12">
        <v>10.218602983947269</v>
      </c>
    </row>
    <row r="29" spans="1:8">
      <c r="A29" s="4" t="s">
        <v>45</v>
      </c>
      <c r="B29" s="9">
        <v>20.69796133860871</v>
      </c>
      <c r="C29" s="12">
        <v>13.874627472551611</v>
      </c>
    </row>
    <row r="30" spans="1:8">
      <c r="A30" s="4" t="s">
        <v>46</v>
      </c>
      <c r="B30" s="9">
        <v>0</v>
      </c>
      <c r="C30" s="12">
        <v>6.1691987088617228E-2</v>
      </c>
    </row>
    <row r="31" spans="1:8">
      <c r="A31" s="4" t="s">
        <v>47</v>
      </c>
      <c r="B31" s="12">
        <v>1.979092913817735E-3</v>
      </c>
      <c r="C31" s="12">
        <v>0</v>
      </c>
    </row>
    <row r="32" spans="1:8">
      <c r="A32" s="4" t="s">
        <v>49</v>
      </c>
      <c r="B32" s="12">
        <v>3.4114052091649052</v>
      </c>
      <c r="C32" s="12">
        <v>1.6454680468160889</v>
      </c>
    </row>
    <row r="33" spans="1:3">
      <c r="A33" s="4" t="s">
        <v>35</v>
      </c>
      <c r="B33" s="12">
        <v>6.1198961310676614</v>
      </c>
      <c r="C33" s="12">
        <v>0</v>
      </c>
    </row>
    <row r="34" spans="1:3">
      <c r="A34" s="4"/>
      <c r="B34" s="12"/>
      <c r="C34" s="12"/>
    </row>
    <row r="35" spans="1:3">
      <c r="A35" s="2" t="s">
        <v>37</v>
      </c>
      <c r="B35" s="13">
        <f>SUM(B26:B34)</f>
        <v>99.999999999999972</v>
      </c>
      <c r="C35" s="13">
        <f>SUM(C26:C34)</f>
        <v>99.999999999999758</v>
      </c>
    </row>
    <row r="37" spans="1:3" ht="25.5">
      <c r="A37" s="5" t="s">
        <v>50</v>
      </c>
      <c r="B37" s="3" t="s">
        <v>67</v>
      </c>
      <c r="C37" s="3" t="s">
        <v>2</v>
      </c>
    </row>
    <row r="38" spans="1:3">
      <c r="A38" s="6" t="s">
        <v>51</v>
      </c>
      <c r="B38" s="9">
        <v>61.641754515877103</v>
      </c>
      <c r="C38" s="9">
        <v>71.283055386579449</v>
      </c>
    </row>
    <row r="39" spans="1:3">
      <c r="A39" s="4" t="s">
        <v>52</v>
      </c>
      <c r="B39" s="9">
        <v>2.010982661951592</v>
      </c>
      <c r="C39" s="12">
        <v>4.0727545135917129</v>
      </c>
    </row>
    <row r="40" spans="1:3">
      <c r="A40" s="4" t="s">
        <v>53</v>
      </c>
      <c r="B40" s="9">
        <v>11.124761439776391</v>
      </c>
      <c r="C40" s="12">
        <v>10.40802726027597</v>
      </c>
    </row>
    <row r="41" spans="1:3">
      <c r="A41" s="4" t="s">
        <v>54</v>
      </c>
      <c r="B41" s="9">
        <v>17.871388936430911</v>
      </c>
      <c r="C41" s="12">
        <v>12.733564136050481</v>
      </c>
    </row>
    <row r="42" spans="1:3">
      <c r="A42" s="4" t="s">
        <v>55</v>
      </c>
      <c r="B42" s="9">
        <v>0.46082455384601811</v>
      </c>
      <c r="C42" s="12">
        <v>0.76893806967724643</v>
      </c>
    </row>
    <row r="43" spans="1:3">
      <c r="A43" s="4" t="s">
        <v>56</v>
      </c>
      <c r="B43" s="12">
        <v>0</v>
      </c>
      <c r="C43" s="12">
        <v>2.2698966061232371E-3</v>
      </c>
    </row>
    <row r="44" spans="1:3">
      <c r="A44" s="4" t="s">
        <v>58</v>
      </c>
      <c r="B44" s="12">
        <v>0.77039176105028018</v>
      </c>
      <c r="C44" s="12">
        <v>0.73139073721869163</v>
      </c>
    </row>
    <row r="45" spans="1:3">
      <c r="A45" s="4" t="s">
        <v>35</v>
      </c>
      <c r="B45" s="12">
        <v>6.1198961310676614</v>
      </c>
      <c r="C45" s="12">
        <v>0</v>
      </c>
    </row>
    <row r="46" spans="1:3">
      <c r="A46" s="4"/>
      <c r="B46" s="12"/>
      <c r="C46" s="12"/>
    </row>
    <row r="47" spans="1:3">
      <c r="A47" s="2" t="s">
        <v>37</v>
      </c>
      <c r="B47" s="13">
        <f>SUM(B38:B46)</f>
        <v>99.999999999999972</v>
      </c>
      <c r="C47" s="13">
        <f>SUM(C38:C46)</f>
        <v>99.999999999999673</v>
      </c>
    </row>
    <row r="49" spans="1:35" ht="26.25">
      <c r="Q49" s="16" t="s">
        <v>59</v>
      </c>
      <c r="R49" s="16" t="s">
        <v>67</v>
      </c>
      <c r="S49" s="16" t="s">
        <v>2</v>
      </c>
      <c r="T49" s="17" t="s">
        <v>60</v>
      </c>
      <c r="U49" s="18"/>
      <c r="V49" s="16" t="s">
        <v>59</v>
      </c>
      <c r="W49" s="16" t="s">
        <v>67</v>
      </c>
      <c r="X49" s="16" t="s">
        <v>2</v>
      </c>
      <c r="Y49" s="17" t="s">
        <v>60</v>
      </c>
      <c r="AA49" s="19" t="s">
        <v>61</v>
      </c>
      <c r="AB49" s="16" t="s">
        <v>67</v>
      </c>
      <c r="AC49" s="16" t="s">
        <v>2</v>
      </c>
      <c r="AD49" s="20" t="s">
        <v>60</v>
      </c>
      <c r="AE49" s="21"/>
      <c r="AF49" s="22" t="s">
        <v>62</v>
      </c>
      <c r="AG49" s="16" t="s">
        <v>67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35.675743991009824</v>
      </c>
      <c r="C52" s="53">
        <v>38.280373394761945</v>
      </c>
      <c r="D52" s="53">
        <v>-2.6046294037521234</v>
      </c>
      <c r="E52" s="53">
        <v>2.1936728531083052</v>
      </c>
      <c r="F52" s="53">
        <v>2.3313901530361689</v>
      </c>
      <c r="G52" s="53">
        <v>-0.13771729992786375</v>
      </c>
      <c r="H52" s="53">
        <v>0.66892823498642029</v>
      </c>
      <c r="I52" s="53">
        <v>-4.3065367465890181E-2</v>
      </c>
      <c r="J52" s="54">
        <v>1.2174222272721158</v>
      </c>
      <c r="K52" s="54">
        <v>0.43432443709124974</v>
      </c>
      <c r="L52" s="54">
        <v>9.515972534478262E-2</v>
      </c>
      <c r="M52" s="53">
        <v>0.26717073765844795</v>
      </c>
      <c r="N52" s="53">
        <v>9.5315148385920354E-2</v>
      </c>
      <c r="O52" s="53">
        <v>1.0067266860742261E-2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2.2041047795071864</v>
      </c>
      <c r="C53" s="56">
        <v>2.2837246791452448</v>
      </c>
      <c r="D53" s="56">
        <v>-7.9619899638058364E-2</v>
      </c>
      <c r="E53" s="56">
        <v>9.7394271891084794E-2</v>
      </c>
      <c r="F53" s="56">
        <v>8.7108666114330893E-2</v>
      </c>
      <c r="G53" s="56">
        <v>1.0285605776753901E-2</v>
      </c>
      <c r="H53" s="56">
        <v>4.1039875460195128E-2</v>
      </c>
      <c r="I53" s="56">
        <v>1.3274207299413879E-3</v>
      </c>
      <c r="J53" s="57">
        <v>17.085502807615974</v>
      </c>
      <c r="K53" s="57">
        <v>0.3765823839854982</v>
      </c>
      <c r="L53" s="57">
        <v>-1.0179514117353405E-2</v>
      </c>
      <c r="M53" s="56">
        <v>4.3244381697331002</v>
      </c>
      <c r="N53" s="56">
        <v>9.5315148385920354E-2</v>
      </c>
      <c r="O53" s="56">
        <v>1.0067266860742261E-2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33.471639211502634</v>
      </c>
      <c r="C54" s="56">
        <v>35.996648715616701</v>
      </c>
      <c r="D54" s="56">
        <v>-2.5250095041140677</v>
      </c>
      <c r="E54" s="56">
        <v>2.0962785812172204</v>
      </c>
      <c r="F54" s="56">
        <v>2.2442814869218379</v>
      </c>
      <c r="G54" s="56">
        <v>-0.14800290570461749</v>
      </c>
      <c r="H54" s="56">
        <v>0.62788835952622513</v>
      </c>
      <c r="I54" s="56">
        <v>-4.439278819583159E-2</v>
      </c>
      <c r="J54" s="57">
        <v>0.17251038331552138</v>
      </c>
      <c r="K54" s="57">
        <v>5.7742053105751541E-2</v>
      </c>
      <c r="L54" s="57">
        <v>0.10533923946213603</v>
      </c>
      <c r="M54" s="56" t="s">
        <v>14</v>
      </c>
      <c r="N54" s="56" t="s">
        <v>14</v>
      </c>
      <c r="O54" s="56" t="s">
        <v>14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33.471639211502634</v>
      </c>
      <c r="C55" s="59">
        <v>35.996648715616701</v>
      </c>
      <c r="D55" s="59">
        <v>-2.5250095041140677</v>
      </c>
      <c r="E55" s="59">
        <v>2.0962785812172204</v>
      </c>
      <c r="F55" s="59">
        <v>2.2442814869218379</v>
      </c>
      <c r="G55" s="59">
        <v>-0.14800290570461749</v>
      </c>
      <c r="H55" s="59">
        <v>0.62788835952622513</v>
      </c>
      <c r="I55" s="59">
        <v>-4.439278819583159E-2</v>
      </c>
      <c r="J55" s="60">
        <v>0.17251038331552138</v>
      </c>
      <c r="K55" s="60">
        <v>5.7742053105751541E-2</v>
      </c>
      <c r="L55" s="60">
        <v>0.10533923946213603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63" t="s">
        <v>112</v>
      </c>
      <c r="B56" s="64">
        <v>31.557115422522099</v>
      </c>
      <c r="C56" s="64">
        <v>30.326231137594146</v>
      </c>
      <c r="D56" s="64">
        <v>1.2308842849279522</v>
      </c>
      <c r="E56" s="64">
        <v>1.4925404141821763</v>
      </c>
      <c r="F56" s="64">
        <v>1.4472224848749558</v>
      </c>
      <c r="G56" s="64">
        <v>4.5317929307220561E-2</v>
      </c>
      <c r="H56" s="64">
        <v>0.90071657406944694</v>
      </c>
      <c r="I56" s="64">
        <v>4.8279404331343256E-2</v>
      </c>
      <c r="J56" s="65">
        <v>31.024749188607526</v>
      </c>
      <c r="K56" s="65">
        <v>9.7905159109968629</v>
      </c>
      <c r="L56" s="65">
        <v>2.4002884620649718</v>
      </c>
      <c r="M56" s="64">
        <v>5.3248306664955676</v>
      </c>
      <c r="N56" s="64">
        <v>1.6803629594798588</v>
      </c>
      <c r="O56" s="64">
        <v>4.9393344477756784E-2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5" t="s">
        <v>113</v>
      </c>
      <c r="B57" s="56">
        <v>28.12007901437023</v>
      </c>
      <c r="C57" s="56">
        <v>28.100938891367811</v>
      </c>
      <c r="D57" s="56">
        <v>1.9140123002420184E-2</v>
      </c>
      <c r="E57" s="56">
        <v>1.3487575470454558</v>
      </c>
      <c r="F57" s="56">
        <v>1.3393581882522108</v>
      </c>
      <c r="G57" s="56">
        <v>9.3993587932450495E-3</v>
      </c>
      <c r="H57" s="56">
        <v>0.79776026974539838</v>
      </c>
      <c r="I57" s="56">
        <v>2.3012168372495978E-3</v>
      </c>
      <c r="J57" s="57">
        <v>18.971885660694127</v>
      </c>
      <c r="K57" s="57">
        <v>5.3349092383031618</v>
      </c>
      <c r="L57" s="57">
        <v>-0.4734806308979973</v>
      </c>
      <c r="M57" s="56">
        <v>5.4672681731351673</v>
      </c>
      <c r="N57" s="56">
        <v>1.5374001302131248</v>
      </c>
      <c r="O57" s="56">
        <v>1.2529806697137102E-2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5" t="s">
        <v>130</v>
      </c>
      <c r="B58" s="56">
        <v>1.008309104612211E-2</v>
      </c>
      <c r="C58" s="62" t="s">
        <v>14</v>
      </c>
      <c r="D58" s="56">
        <v>1.008309104612211E-2</v>
      </c>
      <c r="E58" s="56">
        <v>2.5207727615305275E-5</v>
      </c>
      <c r="F58" s="56" t="s">
        <v>14</v>
      </c>
      <c r="G58" s="56">
        <v>2.5207727615305275E-5</v>
      </c>
      <c r="H58" s="56">
        <v>2.9386356626614205E-4</v>
      </c>
      <c r="I58" s="56">
        <v>2.9386356626614205E-4</v>
      </c>
      <c r="J58" s="57">
        <v>73.752777583883955</v>
      </c>
      <c r="K58" s="57">
        <v>7.4365597128269586E-3</v>
      </c>
      <c r="L58" s="57">
        <v>7.4365597128269586E-3</v>
      </c>
      <c r="M58" s="56">
        <v>5.2857753882466065</v>
      </c>
      <c r="N58" s="56">
        <v>5.3296954489041978E-4</v>
      </c>
      <c r="O58" s="56">
        <v>5.3296954489041978E-4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114</v>
      </c>
      <c r="B59" s="56">
        <v>1.1075075214555176E-2</v>
      </c>
      <c r="C59" s="62" t="s">
        <v>14</v>
      </c>
      <c r="D59" s="56">
        <v>1.1075075214555176E-2</v>
      </c>
      <c r="E59" s="56">
        <v>1.6625620376305083E-5</v>
      </c>
      <c r="F59" s="56" t="s">
        <v>14</v>
      </c>
      <c r="G59" s="56">
        <v>1.6625620376305083E-5</v>
      </c>
      <c r="H59" s="56">
        <v>4.5324314011681072E-4</v>
      </c>
      <c r="I59" s="56">
        <v>4.5324314011681072E-4</v>
      </c>
      <c r="J59" s="57">
        <v>197.61384503407123</v>
      </c>
      <c r="K59" s="57">
        <v>2.1885881971897895E-2</v>
      </c>
      <c r="L59" s="57">
        <v>2.1885881971897895E-2</v>
      </c>
      <c r="M59" s="56">
        <v>5.1085064525450727</v>
      </c>
      <c r="N59" s="56">
        <v>5.6577093195977113E-4</v>
      </c>
      <c r="O59" s="56">
        <v>5.6577093195977113E-4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115</v>
      </c>
      <c r="B60" s="56">
        <v>3.4158782418911913</v>
      </c>
      <c r="C60" s="56">
        <v>1.7066456783670205</v>
      </c>
      <c r="D60" s="56">
        <v>1.7092325635241705</v>
      </c>
      <c r="E60" s="56">
        <v>0.14374103378872874</v>
      </c>
      <c r="F60" s="56">
        <v>9.5279285065683644E-2</v>
      </c>
      <c r="G60" s="56">
        <v>4.8461748723045095E-2</v>
      </c>
      <c r="H60" s="56">
        <v>0.10220919761766557</v>
      </c>
      <c r="I60" s="56">
        <v>5.5218471299007088E-2</v>
      </c>
      <c r="J60" s="57">
        <v>129.57968398072572</v>
      </c>
      <c r="K60" s="57">
        <v>4.4262842310089763</v>
      </c>
      <c r="L60" s="57">
        <v>3.1489272436407605</v>
      </c>
      <c r="M60" s="56">
        <v>4.1530780298346102</v>
      </c>
      <c r="N60" s="56">
        <v>0.14186408878988382</v>
      </c>
      <c r="O60" s="56">
        <v>4.8176864200153061E-2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116</v>
      </c>
      <c r="B61" s="66" t="s">
        <v>14</v>
      </c>
      <c r="C61" s="56">
        <v>0.44305072411314372</v>
      </c>
      <c r="D61" s="56">
        <v>-0.44305072411314372</v>
      </c>
      <c r="E61" s="56" t="s">
        <v>14</v>
      </c>
      <c r="F61" s="56">
        <v>1.029485416989819E-2</v>
      </c>
      <c r="G61" s="56">
        <v>-1.029485416989819E-2</v>
      </c>
      <c r="H61" s="56" t="s">
        <v>14</v>
      </c>
      <c r="I61" s="56">
        <v>-8.4098632925326822E-3</v>
      </c>
      <c r="J61" s="57" t="s">
        <v>14</v>
      </c>
      <c r="K61" s="57" t="s">
        <v>14</v>
      </c>
      <c r="L61" s="57">
        <v>-0.26122389909580568</v>
      </c>
      <c r="M61" s="56" t="s">
        <v>14</v>
      </c>
      <c r="N61" s="56" t="s">
        <v>14</v>
      </c>
      <c r="O61" s="56">
        <v>-1.0148192482667526E-2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55" t="s">
        <v>117</v>
      </c>
      <c r="B62" s="66" t="s">
        <v>14</v>
      </c>
      <c r="C62" s="56">
        <v>7.5595843746166014E-2</v>
      </c>
      <c r="D62" s="56">
        <v>-7.5595843746166014E-2</v>
      </c>
      <c r="E62" s="56" t="s">
        <v>14</v>
      </c>
      <c r="F62" s="56">
        <v>2.290157387163227E-3</v>
      </c>
      <c r="G62" s="56">
        <v>-2.290157387163227E-3</v>
      </c>
      <c r="H62" s="56" t="s">
        <v>14</v>
      </c>
      <c r="I62" s="56">
        <v>-1.5775272187636806E-3</v>
      </c>
      <c r="J62" s="57" t="s">
        <v>14</v>
      </c>
      <c r="K62" s="57" t="s">
        <v>14</v>
      </c>
      <c r="L62" s="57">
        <v>-4.325669326671059E-2</v>
      </c>
      <c r="M62" s="56" t="s">
        <v>14</v>
      </c>
      <c r="N62" s="56" t="s">
        <v>14</v>
      </c>
      <c r="O62" s="56">
        <v>-2.2638744137160171E-3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63" t="s">
        <v>119</v>
      </c>
      <c r="B63" s="64">
        <v>32.255607226276737</v>
      </c>
      <c r="C63" s="64">
        <v>31.393395467643607</v>
      </c>
      <c r="D63" s="64">
        <v>0.86221175863313015</v>
      </c>
      <c r="E63" s="64">
        <v>2.3664240162369139</v>
      </c>
      <c r="F63" s="64">
        <v>2.2648323271171811</v>
      </c>
      <c r="G63" s="64">
        <v>0.10159168911973282</v>
      </c>
      <c r="H63" s="64">
        <v>1.0479847024101054</v>
      </c>
      <c r="I63" s="64">
        <v>4.988544416413998E-2</v>
      </c>
      <c r="J63" s="65">
        <v>116.24155103395023</v>
      </c>
      <c r="K63" s="65">
        <v>37.494418135243031</v>
      </c>
      <c r="L63" s="65">
        <v>2.791535989881389</v>
      </c>
      <c r="M63" s="64">
        <v>7.1046836726276608</v>
      </c>
      <c r="N63" s="64">
        <v>2.2916588601121921</v>
      </c>
      <c r="O63" s="64">
        <v>9.2537772877984814E-2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120</v>
      </c>
      <c r="B64" s="56">
        <v>31.214186617939298</v>
      </c>
      <c r="C64" s="56">
        <v>25.829613674930219</v>
      </c>
      <c r="D64" s="56">
        <v>5.384572943009081</v>
      </c>
      <c r="E64" s="56">
        <v>2.3131397500714121</v>
      </c>
      <c r="F64" s="56">
        <v>1.9280943793153833</v>
      </c>
      <c r="G64" s="56">
        <v>0.38504537075602885</v>
      </c>
      <c r="H64" s="56">
        <v>1.0198998987993082</v>
      </c>
      <c r="I64" s="56">
        <v>0.17662789122578504</v>
      </c>
      <c r="J64" s="57">
        <v>117.27869470859599</v>
      </c>
      <c r="K64" s="57">
        <v>36.607590629424472</v>
      </c>
      <c r="L64" s="57">
        <v>6.733102331058916</v>
      </c>
      <c r="M64" s="56">
        <v>7.1739247393528842</v>
      </c>
      <c r="N64" s="56">
        <v>2.239282255972125</v>
      </c>
      <c r="O64" s="56">
        <v>0.3676212907637233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8" t="s">
        <v>121</v>
      </c>
      <c r="B65" s="59">
        <v>10.851123159566727</v>
      </c>
      <c r="C65" s="59">
        <v>8.2084648168931551</v>
      </c>
      <c r="D65" s="59">
        <v>2.6426583426735704</v>
      </c>
      <c r="E65" s="59">
        <v>0.66673380427138829</v>
      </c>
      <c r="F65" s="59">
        <v>0.48995511988414547</v>
      </c>
      <c r="G65" s="59">
        <v>0.17677868438724281</v>
      </c>
      <c r="H65" s="59">
        <v>0.33265062831588954</v>
      </c>
      <c r="I65" s="59">
        <v>8.2461066758486246E-2</v>
      </c>
      <c r="J65" s="60">
        <v>110.02152234107062</v>
      </c>
      <c r="K65" s="60">
        <v>11.938570891259797</v>
      </c>
      <c r="L65" s="60">
        <v>2.8138585415707631</v>
      </c>
      <c r="M65" s="59">
        <v>5.9854209577482651</v>
      </c>
      <c r="N65" s="59">
        <v>0.64948539974378261</v>
      </c>
      <c r="O65" s="59">
        <v>0.17033356813096162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8" t="s">
        <v>122</v>
      </c>
      <c r="B66" s="59">
        <v>18.44739513916938</v>
      </c>
      <c r="C66" s="59">
        <v>15.635526510908647</v>
      </c>
      <c r="D66" s="59">
        <v>2.8118686282607328</v>
      </c>
      <c r="E66" s="59">
        <v>1.4393438132227292</v>
      </c>
      <c r="F66" s="59">
        <v>1.2467024986226569</v>
      </c>
      <c r="G66" s="59">
        <v>0.19264131460007228</v>
      </c>
      <c r="H66" s="59">
        <v>0.6210114685295467</v>
      </c>
      <c r="I66" s="59">
        <v>9.6341228833220049E-2</v>
      </c>
      <c r="J66" s="60">
        <v>122.97036867087412</v>
      </c>
      <c r="K66" s="60">
        <v>22.684829812809511</v>
      </c>
      <c r="L66" s="60">
        <v>4.1684674665194414</v>
      </c>
      <c r="M66" s="59">
        <v>7.5435734794944924</v>
      </c>
      <c r="N66" s="59">
        <v>1.3915928073759378</v>
      </c>
      <c r="O66" s="59">
        <v>0.183966604576282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8" t="s">
        <v>123</v>
      </c>
      <c r="B67" s="59">
        <v>1.9156683192031925</v>
      </c>
      <c r="C67" s="59">
        <v>1.9856223471284156</v>
      </c>
      <c r="D67" s="59">
        <v>-6.9954027925223095E-2</v>
      </c>
      <c r="E67" s="59">
        <v>0.20706213257729442</v>
      </c>
      <c r="F67" s="59">
        <v>0.19143676080858107</v>
      </c>
      <c r="G67" s="59">
        <v>1.5625371768713342E-2</v>
      </c>
      <c r="H67" s="59">
        <v>6.6237801953872022E-2</v>
      </c>
      <c r="I67" s="59">
        <v>-2.1744043659212009E-3</v>
      </c>
      <c r="J67" s="60">
        <v>103.57690344748565</v>
      </c>
      <c r="K67" s="60">
        <v>1.9841899253551616</v>
      </c>
      <c r="L67" s="60">
        <v>-0.24922367703129034</v>
      </c>
      <c r="M67" s="59">
        <v>10.346470047322505</v>
      </c>
      <c r="N67" s="59">
        <v>0.19820404885240478</v>
      </c>
      <c r="O67" s="59">
        <v>1.3321118056479869E-2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5" t="s">
        <v>124</v>
      </c>
      <c r="B68" s="56">
        <v>1.0414206083374387</v>
      </c>
      <c r="C68" s="56">
        <v>5.5637817927133915</v>
      </c>
      <c r="D68" s="56">
        <v>-4.5223611843759528</v>
      </c>
      <c r="E68" s="56">
        <v>5.3284266165501554E-2</v>
      </c>
      <c r="F68" s="56">
        <v>0.33673794780179761</v>
      </c>
      <c r="G68" s="56">
        <v>-0.28345368163629603</v>
      </c>
      <c r="H68" s="56">
        <v>2.8084803610797186E-2</v>
      </c>
      <c r="I68" s="56">
        <v>-0.12674244706164509</v>
      </c>
      <c r="J68" s="57">
        <v>85.155555662982778</v>
      </c>
      <c r="K68" s="57">
        <v>0.88682750581856118</v>
      </c>
      <c r="L68" s="57">
        <v>-3.9415663411775275</v>
      </c>
      <c r="M68" s="56">
        <v>5.029342008478487</v>
      </c>
      <c r="N68" s="56">
        <v>5.2376604140067007E-2</v>
      </c>
      <c r="O68" s="56">
        <v>-0.27508351788573854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128</v>
      </c>
      <c r="B69" s="64">
        <v>7.2562140898239171</v>
      </c>
      <c r="C69" s="67" t="s">
        <v>14</v>
      </c>
      <c r="D69" s="64">
        <v>7.2562140898239171</v>
      </c>
      <c r="E69" s="64">
        <v>1.4539556479280374E-3</v>
      </c>
      <c r="F69" s="64" t="s">
        <v>14</v>
      </c>
      <c r="G69" s="64">
        <v>1.4539556479280374E-3</v>
      </c>
      <c r="H69" s="64">
        <v>4.8990571648925084E-2</v>
      </c>
      <c r="I69" s="64">
        <v>4.8990571648925084E-2</v>
      </c>
      <c r="J69" s="65">
        <v>-0.53621184626709006</v>
      </c>
      <c r="K69" s="65">
        <v>-3.8908679540137547E-2</v>
      </c>
      <c r="L69" s="65">
        <v>-3.8908679540137547E-2</v>
      </c>
      <c r="M69" s="64">
        <v>1.4072680119924543E-2</v>
      </c>
      <c r="N69" s="64">
        <v>1.0211437976778142E-3</v>
      </c>
      <c r="O69" s="64">
        <v>1.0211437976778142E-3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63" t="s">
        <v>129</v>
      </c>
      <c r="B70" s="64">
        <v>-6.7446807296326678</v>
      </c>
      <c r="C70" s="67" t="s">
        <v>14</v>
      </c>
      <c r="D70" s="64">
        <v>-6.7446807296326678</v>
      </c>
      <c r="E70" s="64">
        <v>-6.7446807296326676E-5</v>
      </c>
      <c r="F70" s="64" t="s">
        <v>14</v>
      </c>
      <c r="G70" s="64">
        <v>-6.7446807296326676E-5</v>
      </c>
      <c r="H70" s="64">
        <v>-5.3208111807999156E-2</v>
      </c>
      <c r="I70" s="64">
        <v>-5.3208111807999156E-2</v>
      </c>
      <c r="J70" s="65">
        <v>9.999999999999998E-4</v>
      </c>
      <c r="K70" s="65">
        <v>-6.7446807296326676E-5</v>
      </c>
      <c r="L70" s="65">
        <v>-6.7446807296326676E-5</v>
      </c>
      <c r="M70" s="64">
        <v>9.999999999999998E-4</v>
      </c>
      <c r="N70" s="64">
        <v>-6.7446807296326676E-5</v>
      </c>
      <c r="O70" s="64">
        <v>-6.7446807296326676E-5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8" t="s">
        <v>37</v>
      </c>
      <c r="B71" s="69">
        <v>99.999999999999915</v>
      </c>
      <c r="C71" s="69">
        <v>99.999999999999702</v>
      </c>
      <c r="D71" s="69">
        <v>2.1094237467877974E-13</v>
      </c>
      <c r="E71" s="69">
        <v>6.0540237923680262</v>
      </c>
      <c r="F71" s="69">
        <v>6.0434449650283053</v>
      </c>
      <c r="G71" s="69">
        <v>1.0578827339720931E-2</v>
      </c>
      <c r="H71" s="69">
        <v>2.6134119713068986</v>
      </c>
      <c r="I71" s="69">
        <v>5.0881940870519227E-2</v>
      </c>
      <c r="J71" s="70">
        <v>47.680282356983746</v>
      </c>
      <c r="K71" s="70">
        <v>47.680282356983717</v>
      </c>
      <c r="L71" s="70">
        <v>5.2480080509437173</v>
      </c>
      <c r="M71" s="69">
        <v>4.0682906649683552</v>
      </c>
      <c r="N71" s="69">
        <v>4.0682906649683526</v>
      </c>
      <c r="O71" s="69">
        <v>0.15295208120686521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38.25">
      <c r="A1" s="2" t="s">
        <v>0</v>
      </c>
      <c r="B1" s="3" t="s">
        <v>68</v>
      </c>
      <c r="C1" s="3" t="s">
        <v>69</v>
      </c>
    </row>
    <row r="2" spans="1:8">
      <c r="A2" s="4" t="s">
        <v>3</v>
      </c>
      <c r="B2" s="9">
        <v>4.7910285634958747</v>
      </c>
      <c r="C2" s="9">
        <v>4.7838641484009319</v>
      </c>
    </row>
    <row r="3" spans="1:8">
      <c r="A3" s="4" t="s">
        <v>4</v>
      </c>
      <c r="B3" s="10">
        <v>18.37891689354775</v>
      </c>
      <c r="C3" s="10">
        <v>22.355130876396871</v>
      </c>
    </row>
    <row r="4" spans="1:8">
      <c r="A4" s="4" t="s">
        <v>5</v>
      </c>
      <c r="B4" s="9">
        <v>5.4773491231894331</v>
      </c>
      <c r="C4" s="9">
        <v>5.4622646842779847</v>
      </c>
    </row>
    <row r="5" spans="1:8">
      <c r="A5" s="4" t="s">
        <v>6</v>
      </c>
      <c r="B5" s="9">
        <v>6.8960414601983313</v>
      </c>
      <c r="C5" s="9">
        <v>6.8640962309331437</v>
      </c>
    </row>
    <row r="6" spans="1:8">
      <c r="A6" s="4" t="s">
        <v>7</v>
      </c>
      <c r="B6" s="9">
        <v>2.8148799722620419</v>
      </c>
      <c r="C6" s="9">
        <v>2.8625859930037381</v>
      </c>
    </row>
    <row r="7" spans="1:8">
      <c r="A7" s="4" t="s">
        <v>8</v>
      </c>
      <c r="B7" s="9">
        <v>2.8148799722620419</v>
      </c>
      <c r="C7" s="9">
        <v>2.8625859930037381</v>
      </c>
    </row>
    <row r="8" spans="1:8">
      <c r="A8" s="4" t="s">
        <v>9</v>
      </c>
      <c r="B8" s="9">
        <v>3.6795619157318149</v>
      </c>
      <c r="C8" s="9">
        <v>3.564293416416823</v>
      </c>
    </row>
    <row r="9" spans="1:8">
      <c r="A9" s="4" t="s">
        <v>10</v>
      </c>
      <c r="B9" s="9" t="s">
        <v>70</v>
      </c>
      <c r="C9" s="9" t="s">
        <v>70</v>
      </c>
    </row>
    <row r="10" spans="1:8">
      <c r="A10" s="4" t="s">
        <v>13</v>
      </c>
      <c r="B10" s="39">
        <v>507367844.46754253</v>
      </c>
      <c r="C10" s="7" t="s">
        <v>14</v>
      </c>
    </row>
    <row r="11" spans="1:8">
      <c r="B11" s="1"/>
    </row>
    <row r="12" spans="1:8" ht="38.25">
      <c r="A12" s="5" t="s">
        <v>15</v>
      </c>
      <c r="B12" s="3" t="s">
        <v>68</v>
      </c>
      <c r="C12" s="3" t="s">
        <v>69</v>
      </c>
    </row>
    <row r="13" spans="1:8">
      <c r="A13" s="6" t="s">
        <v>16</v>
      </c>
      <c r="B13" s="9">
        <v>83.67506601689665</v>
      </c>
      <c r="C13" s="9">
        <v>99.999999999999972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31</v>
      </c>
      <c r="B14" s="9">
        <v>6.6197669892311281E-2</v>
      </c>
      <c r="C14" s="12">
        <v>0</v>
      </c>
      <c r="E14" s="40" t="s">
        <v>22</v>
      </c>
      <c r="F14" s="41">
        <v>4.0257596297645477E-2</v>
      </c>
      <c r="G14" s="41">
        <v>5.2911793235830847E-2</v>
      </c>
      <c r="H14" s="41">
        <v>-1.26541969381854E-2</v>
      </c>
    </row>
    <row r="15" spans="1:8">
      <c r="A15" s="4" t="s">
        <v>35</v>
      </c>
      <c r="B15" s="9">
        <v>16.25873631321096</v>
      </c>
      <c r="C15" s="12">
        <v>0</v>
      </c>
      <c r="E15" s="40" t="s">
        <v>24</v>
      </c>
      <c r="F15" s="41">
        <v>0.1653560322570834</v>
      </c>
      <c r="G15" s="41">
        <v>0.16909537438061331</v>
      </c>
      <c r="H15" s="41">
        <v>-3.7393421235299429E-3</v>
      </c>
    </row>
    <row r="16" spans="1:8">
      <c r="A16" s="4"/>
      <c r="B16" s="9"/>
      <c r="C16" s="12"/>
      <c r="E16" s="40" t="s">
        <v>26</v>
      </c>
      <c r="F16" s="41">
        <v>0.25883385931990738</v>
      </c>
      <c r="G16" s="41">
        <v>0.26983870563441448</v>
      </c>
      <c r="H16" s="41">
        <v>-1.100484631450699E-2</v>
      </c>
    </row>
    <row r="17" spans="1:8">
      <c r="A17" s="4"/>
      <c r="B17" s="9"/>
      <c r="C17" s="12"/>
      <c r="E17" s="40" t="s">
        <v>28</v>
      </c>
      <c r="F17" s="41">
        <v>0.46372218582941582</v>
      </c>
      <c r="G17" s="41">
        <v>0.45358105206333771</v>
      </c>
      <c r="H17" s="41">
        <v>1.014113376607817E-2</v>
      </c>
    </row>
    <row r="18" spans="1:8">
      <c r="A18" s="4"/>
      <c r="B18" s="12"/>
      <c r="C18" s="12"/>
      <c r="E18" s="40" t="s">
        <v>30</v>
      </c>
      <c r="F18" s="41">
        <v>0.58318158532649811</v>
      </c>
      <c r="G18" s="41">
        <v>0.59511950823715798</v>
      </c>
      <c r="H18" s="41">
        <v>-1.193792291065965E-2</v>
      </c>
    </row>
    <row r="19" spans="1:8">
      <c r="A19" s="4"/>
      <c r="B19" s="12"/>
      <c r="C19" s="12"/>
      <c r="E19" s="40" t="s">
        <v>32</v>
      </c>
      <c r="F19" s="41">
        <v>0.71729655232551337</v>
      </c>
      <c r="G19" s="41">
        <v>0.73885952027588875</v>
      </c>
      <c r="H19" s="41">
        <v>-2.1562967950375489E-2</v>
      </c>
    </row>
    <row r="20" spans="1:8">
      <c r="A20" s="4"/>
      <c r="B20" s="12"/>
      <c r="C20" s="12"/>
      <c r="E20" s="40" t="s">
        <v>34</v>
      </c>
      <c r="F20" s="41">
        <v>0.89369093227799812</v>
      </c>
      <c r="G20" s="41">
        <v>0.84579998779780508</v>
      </c>
      <c r="H20" s="41">
        <v>4.7890944480192932E-2</v>
      </c>
    </row>
    <row r="21" spans="1:8">
      <c r="A21" s="4"/>
      <c r="B21" s="12"/>
      <c r="C21" s="12"/>
      <c r="E21" s="40" t="s">
        <v>36</v>
      </c>
      <c r="F21" s="41">
        <v>0.80860257458431795</v>
      </c>
      <c r="G21" s="41">
        <v>0.80851585467987075</v>
      </c>
      <c r="H21" s="41">
        <v>8.6719904447418728E-5</v>
      </c>
    </row>
    <row r="22" spans="1:8">
      <c r="A22" s="2" t="s">
        <v>37</v>
      </c>
      <c r="B22" s="13">
        <f>SUM(B13:B21)</f>
        <v>99.999999999999929</v>
      </c>
      <c r="C22" s="13">
        <f>SUM(C13:C21)</f>
        <v>99.999999999999972</v>
      </c>
      <c r="E22" s="40" t="s">
        <v>38</v>
      </c>
      <c r="F22" s="41">
        <v>0.71344462131230335</v>
      </c>
      <c r="G22" s="41">
        <v>0.71064813864344845</v>
      </c>
      <c r="H22" s="41">
        <v>2.7964826688549049E-3</v>
      </c>
    </row>
    <row r="23" spans="1:8">
      <c r="A23" s="14"/>
      <c r="B23" s="15"/>
      <c r="C23" s="15"/>
      <c r="E23" s="40" t="s">
        <v>39</v>
      </c>
      <c r="F23" s="41">
        <v>0.32455540648926751</v>
      </c>
      <c r="G23" s="41">
        <v>0.32045648632013007</v>
      </c>
      <c r="H23" s="41">
        <v>4.0989201691373767E-3</v>
      </c>
    </row>
    <row r="24" spans="1:8">
      <c r="E24" s="40" t="s">
        <v>40</v>
      </c>
      <c r="F24" s="41">
        <v>-0.17788157293290391</v>
      </c>
      <c r="G24" s="41">
        <v>-0.18096227286756381</v>
      </c>
      <c r="H24" s="41">
        <v>3.0806999346599251E-3</v>
      </c>
    </row>
    <row r="25" spans="1:8" ht="38.25">
      <c r="A25" s="5" t="s">
        <v>41</v>
      </c>
      <c r="B25" s="3" t="s">
        <v>68</v>
      </c>
      <c r="C25" s="3" t="s">
        <v>69</v>
      </c>
    </row>
    <row r="26" spans="1:8">
      <c r="A26" s="6" t="s">
        <v>43</v>
      </c>
      <c r="B26" s="9">
        <v>83.67506601689665</v>
      </c>
      <c r="C26" s="9">
        <v>99.999999999999972</v>
      </c>
    </row>
    <row r="27" spans="1:8">
      <c r="A27" s="4" t="s">
        <v>48</v>
      </c>
      <c r="B27" s="9">
        <v>6.6197669892311281E-2</v>
      </c>
      <c r="C27" s="12">
        <v>0</v>
      </c>
    </row>
    <row r="28" spans="1:8">
      <c r="A28" s="4" t="s">
        <v>35</v>
      </c>
      <c r="B28" s="9">
        <v>16.25873631321096</v>
      </c>
      <c r="C28" s="12">
        <v>0</v>
      </c>
    </row>
    <row r="29" spans="1:8">
      <c r="A29" s="4"/>
      <c r="B29" s="9"/>
      <c r="C29" s="12"/>
    </row>
    <row r="30" spans="1:8">
      <c r="A30" s="4"/>
      <c r="B30" s="9"/>
      <c r="C30" s="12"/>
    </row>
    <row r="31" spans="1:8">
      <c r="A31" s="4"/>
      <c r="B31" s="12"/>
      <c r="C31" s="12"/>
    </row>
    <row r="32" spans="1:8">
      <c r="A32" s="4"/>
      <c r="B32" s="12"/>
      <c r="C32" s="12"/>
    </row>
    <row r="33" spans="1:3">
      <c r="A33" s="4"/>
      <c r="B33" s="12"/>
      <c r="C33" s="12"/>
    </row>
    <row r="34" spans="1:3">
      <c r="A34" s="4"/>
      <c r="B34" s="12"/>
      <c r="C34" s="12"/>
    </row>
    <row r="35" spans="1:3">
      <c r="A35" s="2" t="s">
        <v>37</v>
      </c>
      <c r="B35" s="13">
        <f>SUM(B26:B34)</f>
        <v>99.999999999999929</v>
      </c>
      <c r="C35" s="13">
        <f>SUM(C26:C34)</f>
        <v>99.999999999999972</v>
      </c>
    </row>
    <row r="37" spans="1:3" ht="38.25">
      <c r="A37" s="5" t="s">
        <v>50</v>
      </c>
      <c r="B37" s="3" t="s">
        <v>68</v>
      </c>
      <c r="C37" s="3" t="s">
        <v>69</v>
      </c>
    </row>
    <row r="38" spans="1:3">
      <c r="A38" s="6" t="s">
        <v>51</v>
      </c>
      <c r="B38" s="9">
        <v>83.67506601689665</v>
      </c>
      <c r="C38" s="9">
        <v>99.999999999999972</v>
      </c>
    </row>
    <row r="39" spans="1:3">
      <c r="A39" s="4" t="s">
        <v>53</v>
      </c>
      <c r="B39" s="9">
        <v>6.6197669892311281E-2</v>
      </c>
      <c r="C39" s="12">
        <v>0</v>
      </c>
    </row>
    <row r="40" spans="1:3">
      <c r="A40" s="4" t="s">
        <v>35</v>
      </c>
      <c r="B40" s="9">
        <v>16.25873631321096</v>
      </c>
      <c r="C40" s="12">
        <v>0</v>
      </c>
    </row>
    <row r="41" spans="1:3">
      <c r="A41" s="4"/>
      <c r="B41" s="9"/>
      <c r="C41" s="12"/>
    </row>
    <row r="42" spans="1:3">
      <c r="A42" s="4"/>
      <c r="B42" s="9"/>
      <c r="C42" s="12"/>
    </row>
    <row r="43" spans="1:3">
      <c r="A43" s="4"/>
      <c r="B43" s="12"/>
      <c r="C43" s="12"/>
    </row>
    <row r="44" spans="1:3">
      <c r="A44" s="4"/>
      <c r="B44" s="12"/>
      <c r="C44" s="12"/>
    </row>
    <row r="45" spans="1:3">
      <c r="A45" s="4"/>
      <c r="B45" s="12"/>
      <c r="C45" s="12"/>
    </row>
    <row r="46" spans="1:3">
      <c r="A46" s="4"/>
      <c r="B46" s="12"/>
      <c r="C46" s="12"/>
    </row>
    <row r="47" spans="1:3">
      <c r="A47" s="2" t="s">
        <v>37</v>
      </c>
      <c r="B47" s="13">
        <f>SUM(B38:B46)</f>
        <v>99.999999999999929</v>
      </c>
      <c r="C47" s="13">
        <f>SUM(C38:C46)</f>
        <v>99.999999999999972</v>
      </c>
    </row>
    <row r="49" spans="1:35" ht="39">
      <c r="Q49" s="16" t="s">
        <v>59</v>
      </c>
      <c r="R49" s="16" t="s">
        <v>68</v>
      </c>
      <c r="S49" s="16" t="s">
        <v>69</v>
      </c>
      <c r="T49" s="17" t="s">
        <v>60</v>
      </c>
      <c r="U49" s="18"/>
      <c r="V49" s="16" t="s">
        <v>59</v>
      </c>
      <c r="W49" s="16" t="s">
        <v>68</v>
      </c>
      <c r="X49" s="16" t="s">
        <v>69</v>
      </c>
      <c r="Y49" s="17" t="s">
        <v>60</v>
      </c>
      <c r="AA49" s="19" t="s">
        <v>61</v>
      </c>
      <c r="AB49" s="16" t="s">
        <v>68</v>
      </c>
      <c r="AC49" s="16" t="s">
        <v>69</v>
      </c>
      <c r="AD49" s="20" t="s">
        <v>60</v>
      </c>
      <c r="AE49" s="21"/>
      <c r="AF49" s="22" t="s">
        <v>62</v>
      </c>
      <c r="AG49" s="16" t="s">
        <v>68</v>
      </c>
      <c r="AH49" s="16" t="s">
        <v>69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112</v>
      </c>
      <c r="B52" s="53">
        <v>99.967755741365139</v>
      </c>
      <c r="C52" s="53">
        <v>99.999999999999972</v>
      </c>
      <c r="D52" s="53">
        <v>-3.224425863482816E-2</v>
      </c>
      <c r="E52" s="53">
        <v>4.7902409414287952</v>
      </c>
      <c r="F52" s="53">
        <v>4.7838641484009328</v>
      </c>
      <c r="G52" s="53">
        <v>6.3767930278624263E-3</v>
      </c>
      <c r="H52" s="53">
        <v>2.8291505688573655</v>
      </c>
      <c r="I52" s="53">
        <v>-3.3435424146370796E-2</v>
      </c>
      <c r="J52" s="54">
        <v>18.754116637044547</v>
      </c>
      <c r="K52" s="54">
        <v>18.748069511171412</v>
      </c>
      <c r="L52" s="54">
        <v>-3.6070613652254728</v>
      </c>
      <c r="M52" s="53">
        <v>5.4790822242987671</v>
      </c>
      <c r="N52" s="53">
        <v>5.4773155348555491</v>
      </c>
      <c r="O52" s="53">
        <v>1.5050850577566166E-2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113</v>
      </c>
      <c r="B53" s="56">
        <v>99.901558071472834</v>
      </c>
      <c r="C53" s="56">
        <v>99.999999999999972</v>
      </c>
      <c r="D53" s="56">
        <v>-9.8441928527137623E-2</v>
      </c>
      <c r="E53" s="56">
        <v>4.7901857987697749</v>
      </c>
      <c r="F53" s="56">
        <v>4.7838641484009328</v>
      </c>
      <c r="G53" s="56">
        <v>6.3216503688421355E-3</v>
      </c>
      <c r="H53" s="56">
        <v>2.8266350574014578</v>
      </c>
      <c r="I53" s="56">
        <v>-3.5950935602278467E-2</v>
      </c>
      <c r="J53" s="57">
        <v>18.586308569662311</v>
      </c>
      <c r="K53" s="57">
        <v>18.568011849064327</v>
      </c>
      <c r="L53" s="57">
        <v>-3.7871190273325581</v>
      </c>
      <c r="M53" s="56">
        <v>5.4823682560122871</v>
      </c>
      <c r="N53" s="56">
        <v>5.4769713069721089</v>
      </c>
      <c r="O53" s="56">
        <v>1.4706622694125926E-2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114</v>
      </c>
      <c r="B54" s="56">
        <v>6.6197669892311281E-2</v>
      </c>
      <c r="C54" s="62" t="s">
        <v>14</v>
      </c>
      <c r="D54" s="56">
        <v>6.6197669892311281E-2</v>
      </c>
      <c r="E54" s="56">
        <v>5.51426590202953E-5</v>
      </c>
      <c r="F54" s="56" t="s">
        <v>14</v>
      </c>
      <c r="G54" s="56">
        <v>5.51426590202953E-5</v>
      </c>
      <c r="H54" s="56">
        <v>2.5155114559078291E-3</v>
      </c>
      <c r="I54" s="56">
        <v>2.5155114559078291E-3</v>
      </c>
      <c r="J54" s="57">
        <v>272</v>
      </c>
      <c r="K54" s="57">
        <v>0.18005766210708671</v>
      </c>
      <c r="L54" s="57">
        <v>0.18005766210708671</v>
      </c>
      <c r="M54" s="56">
        <v>0.52</v>
      </c>
      <c r="N54" s="56">
        <v>3.4422788344001874E-4</v>
      </c>
      <c r="O54" s="56">
        <v>3.4422788344001874E-4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63" t="s">
        <v>128</v>
      </c>
      <c r="B55" s="64">
        <v>17.441298445483383</v>
      </c>
      <c r="C55" s="67" t="s">
        <v>14</v>
      </c>
      <c r="D55" s="64">
        <v>17.441298445483383</v>
      </c>
      <c r="E55" s="64">
        <v>9.6171260894707103E-4</v>
      </c>
      <c r="F55" s="64" t="s">
        <v>14</v>
      </c>
      <c r="G55" s="64">
        <v>9.6171260894707103E-4</v>
      </c>
      <c r="H55" s="64">
        <v>0.12306769097930668</v>
      </c>
      <c r="I55" s="64">
        <v>0.12306769097930668</v>
      </c>
      <c r="J55" s="65">
        <v>-2.1155450566660572</v>
      </c>
      <c r="K55" s="65">
        <v>-0.36897852708179757</v>
      </c>
      <c r="L55" s="65">
        <v>-0.36897852708179757</v>
      </c>
      <c r="M55" s="64">
        <v>1.1907305892580986E-3</v>
      </c>
      <c r="N55" s="64">
        <v>2.0767887575416785E-4</v>
      </c>
      <c r="O55" s="64">
        <v>2.0767887575416785E-4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63" t="s">
        <v>129</v>
      </c>
      <c r="B56" s="64">
        <v>-17.409054186848547</v>
      </c>
      <c r="C56" s="67" t="s">
        <v>14</v>
      </c>
      <c r="D56" s="64">
        <v>-17.409054186848547</v>
      </c>
      <c r="E56" s="64">
        <v>-1.7409054186848547E-4</v>
      </c>
      <c r="F56" s="64" t="s">
        <v>14</v>
      </c>
      <c r="G56" s="64">
        <v>-1.7409054186848547E-4</v>
      </c>
      <c r="H56" s="64">
        <v>-0.13733828757462949</v>
      </c>
      <c r="I56" s="64">
        <v>-0.13733828757462949</v>
      </c>
      <c r="J56" s="65">
        <v>1E-3</v>
      </c>
      <c r="K56" s="65">
        <v>-1.7409054186848547E-4</v>
      </c>
      <c r="L56" s="65">
        <v>-1.7409054186848547E-4</v>
      </c>
      <c r="M56" s="64">
        <v>1E-3</v>
      </c>
      <c r="N56" s="64">
        <v>-1.7409054186848547E-4</v>
      </c>
      <c r="O56" s="64">
        <v>-1.7409054186848547E-4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68" t="s">
        <v>37</v>
      </c>
      <c r="B57" s="69">
        <v>99.999999999999972</v>
      </c>
      <c r="C57" s="69">
        <v>99.999999999999972</v>
      </c>
      <c r="D57" s="69">
        <v>1.1102230246251565E-14</v>
      </c>
      <c r="E57" s="69">
        <v>4.7910285634958738</v>
      </c>
      <c r="F57" s="69">
        <v>4.7838641484009328</v>
      </c>
      <c r="G57" s="69">
        <v>7.1644150949410346E-3</v>
      </c>
      <c r="H57" s="69">
        <v>2.8148799722620423</v>
      </c>
      <c r="I57" s="69">
        <v>-4.7706020741693944E-2</v>
      </c>
      <c r="J57" s="70">
        <v>18.378916893547753</v>
      </c>
      <c r="K57" s="70">
        <v>18.378916893547746</v>
      </c>
      <c r="L57" s="70">
        <v>-3.9762139828491385</v>
      </c>
      <c r="M57" s="69">
        <v>5.4773491231894349</v>
      </c>
      <c r="N57" s="69">
        <v>5.4773491231894349</v>
      </c>
      <c r="O57" s="69">
        <v>1.5084438911451947E-2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7:35" ht="13.5" customHeight="1"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7:35" ht="13.5" customHeight="1" thickBot="1"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7:35" ht="13.5" customHeight="1" thickTop="1"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7:35" ht="13.5" customHeight="1"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7:35" ht="13.5" customHeight="1"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7:35" ht="13.5" customHeight="1"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7:35" ht="13.5" customHeight="1"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7:35" ht="13.5" customHeight="1"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7:35" ht="13.5" customHeight="1"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7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7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7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7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7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7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7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71</v>
      </c>
      <c r="C1" s="3" t="s">
        <v>2</v>
      </c>
    </row>
    <row r="2" spans="1:8">
      <c r="A2" s="4" t="s">
        <v>3</v>
      </c>
      <c r="B2" s="9">
        <v>5.0927786074787731</v>
      </c>
      <c r="C2" s="9">
        <v>6.0434449650283186</v>
      </c>
    </row>
    <row r="3" spans="1:8">
      <c r="A3" s="4" t="s">
        <v>4</v>
      </c>
      <c r="B3" s="10">
        <v>182.5982088405068</v>
      </c>
      <c r="C3" s="10">
        <v>42.432274306040213</v>
      </c>
    </row>
    <row r="4" spans="1:8">
      <c r="A4" s="4" t="s">
        <v>5</v>
      </c>
      <c r="B4" s="9">
        <v>5.0239874077897619</v>
      </c>
      <c r="C4" s="9">
        <v>3.915338583761498</v>
      </c>
    </row>
    <row r="5" spans="1:8">
      <c r="A5" s="4" t="s">
        <v>6</v>
      </c>
      <c r="B5" s="9">
        <v>9.021729007135832</v>
      </c>
      <c r="C5" s="9">
        <v>8.0974581706531072</v>
      </c>
    </row>
    <row r="6" spans="1:8">
      <c r="A6" s="4" t="s">
        <v>7</v>
      </c>
      <c r="B6" s="9">
        <v>4.1675374261104263</v>
      </c>
      <c r="C6" s="9">
        <v>2.566345501045642</v>
      </c>
    </row>
    <row r="7" spans="1:8">
      <c r="A7" s="4" t="s">
        <v>8</v>
      </c>
      <c r="B7" s="9">
        <v>4.1055597984599386</v>
      </c>
      <c r="C7" s="9">
        <v>2.56253003043639</v>
      </c>
    </row>
    <row r="8" spans="1:8">
      <c r="A8" s="4" t="s">
        <v>9</v>
      </c>
      <c r="B8" s="9">
        <v>2.7862477985930738</v>
      </c>
      <c r="C8" s="9">
        <v>3.0752740867933488</v>
      </c>
    </row>
    <row r="9" spans="1:8">
      <c r="A9" s="4" t="s">
        <v>10</v>
      </c>
      <c r="B9" s="9" t="s">
        <v>72</v>
      </c>
      <c r="C9" s="9" t="s">
        <v>12</v>
      </c>
    </row>
    <row r="10" spans="1:8">
      <c r="A10" s="4" t="s">
        <v>13</v>
      </c>
      <c r="B10" s="39">
        <v>26323090.590233721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71</v>
      </c>
      <c r="C12" s="3" t="s">
        <v>2</v>
      </c>
    </row>
    <row r="13" spans="1:8">
      <c r="A13" s="6" t="s">
        <v>16</v>
      </c>
      <c r="B13" s="9">
        <v>28.869883841419121</v>
      </c>
      <c r="C13" s="9">
        <v>71.440060046559466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0.91743341290720037</v>
      </c>
      <c r="C14" s="12">
        <v>4.1253122696163143</v>
      </c>
      <c r="E14" s="40" t="s">
        <v>22</v>
      </c>
      <c r="F14" s="41">
        <v>5.9017151102731383E-2</v>
      </c>
      <c r="G14" s="41">
        <v>2.3062687079547669E-2</v>
      </c>
      <c r="H14" s="41">
        <v>3.5954464023183717E-2</v>
      </c>
    </row>
    <row r="15" spans="1:8">
      <c r="A15" s="4" t="s">
        <v>23</v>
      </c>
      <c r="B15" s="9">
        <v>4.8242531793396699</v>
      </c>
      <c r="C15" s="12">
        <v>10.661300686190581</v>
      </c>
      <c r="E15" s="40" t="s">
        <v>24</v>
      </c>
      <c r="F15" s="41">
        <v>7.161607033775258E-2</v>
      </c>
      <c r="G15" s="41">
        <v>0.1202014998773102</v>
      </c>
      <c r="H15" s="41">
        <v>-4.8585429539557662E-2</v>
      </c>
    </row>
    <row r="16" spans="1:8">
      <c r="A16" s="4" t="s">
        <v>25</v>
      </c>
      <c r="B16" s="9">
        <v>20.861215859523579</v>
      </c>
      <c r="C16" s="12">
        <v>13.7635494726615</v>
      </c>
      <c r="E16" s="40" t="s">
        <v>26</v>
      </c>
      <c r="F16" s="41">
        <v>0.12695999911881711</v>
      </c>
      <c r="G16" s="41">
        <v>0.28423582329611502</v>
      </c>
      <c r="H16" s="41">
        <v>-0.15727582417729791</v>
      </c>
    </row>
    <row r="17" spans="1:8">
      <c r="A17" s="4" t="s">
        <v>27</v>
      </c>
      <c r="B17" s="9">
        <v>21.560008744644179</v>
      </c>
      <c r="C17" s="12">
        <v>0</v>
      </c>
      <c r="E17" s="40" t="s">
        <v>28</v>
      </c>
      <c r="F17" s="41">
        <v>0.27175146331569938</v>
      </c>
      <c r="G17" s="41">
        <v>0.55199783133138614</v>
      </c>
      <c r="H17" s="41">
        <v>-0.28024636801568681</v>
      </c>
    </row>
    <row r="18" spans="1:8">
      <c r="A18" s="4" t="s">
        <v>29</v>
      </c>
      <c r="B18" s="12">
        <v>19.021402598886979</v>
      </c>
      <c r="C18" s="12">
        <v>0</v>
      </c>
      <c r="E18" s="40" t="s">
        <v>30</v>
      </c>
      <c r="F18" s="41">
        <v>0.45571107124933691</v>
      </c>
      <c r="G18" s="41">
        <v>0.79566777171942882</v>
      </c>
      <c r="H18" s="41">
        <v>-0.33995670047009202</v>
      </c>
    </row>
    <row r="19" spans="1:8">
      <c r="A19" s="4" t="s">
        <v>31</v>
      </c>
      <c r="B19" s="12">
        <v>2.0889267102854769</v>
      </c>
      <c r="C19" s="12">
        <v>0</v>
      </c>
      <c r="E19" s="40" t="s">
        <v>32</v>
      </c>
      <c r="F19" s="41">
        <v>0.29627500269099011</v>
      </c>
      <c r="G19" s="41">
        <v>0.89059970641538821</v>
      </c>
      <c r="H19" s="41">
        <v>-0.59432470372439805</v>
      </c>
    </row>
    <row r="20" spans="1:8">
      <c r="A20" s="4" t="s">
        <v>33</v>
      </c>
      <c r="B20" s="12">
        <v>0</v>
      </c>
      <c r="C20" s="12">
        <v>9.7775249720790797E-3</v>
      </c>
      <c r="E20" s="40" t="s">
        <v>34</v>
      </c>
      <c r="F20" s="41">
        <v>1.2289361062421349</v>
      </c>
      <c r="G20" s="41">
        <v>0.7665264491781294</v>
      </c>
      <c r="H20" s="41">
        <v>0.46240965706400622</v>
      </c>
    </row>
    <row r="21" spans="1:8">
      <c r="A21" s="4" t="s">
        <v>35</v>
      </c>
      <c r="B21" s="12">
        <v>1.8568756529937529</v>
      </c>
      <c r="C21" s="12">
        <v>0</v>
      </c>
      <c r="E21" s="40" t="s">
        <v>36</v>
      </c>
      <c r="F21" s="41">
        <v>0.58335177162877871</v>
      </c>
      <c r="G21" s="41">
        <v>0.44217004280291478</v>
      </c>
      <c r="H21" s="41">
        <v>0.1411817288258638</v>
      </c>
    </row>
    <row r="22" spans="1:8">
      <c r="A22" s="2" t="s">
        <v>37</v>
      </c>
      <c r="B22" s="13">
        <f>SUM(B13:B21)</f>
        <v>99.999999999999957</v>
      </c>
      <c r="C22" s="13">
        <f>SUM(C13:C21)</f>
        <v>99.999999999999943</v>
      </c>
      <c r="E22" s="40" t="s">
        <v>38</v>
      </c>
      <c r="F22" s="41">
        <v>0.63941241161295692</v>
      </c>
      <c r="G22" s="41">
        <v>0.57934744814972572</v>
      </c>
      <c r="H22" s="41">
        <v>6.0064963463231202E-2</v>
      </c>
    </row>
    <row r="23" spans="1:8">
      <c r="A23" s="14"/>
      <c r="B23" s="15"/>
      <c r="C23" s="15"/>
      <c r="E23" s="40" t="s">
        <v>39</v>
      </c>
      <c r="F23" s="41">
        <v>0.67682910613191127</v>
      </c>
      <c r="G23" s="41">
        <v>0.92667732280285764</v>
      </c>
      <c r="H23" s="41">
        <v>-0.24984821667094631</v>
      </c>
    </row>
    <row r="24" spans="1:8">
      <c r="E24" s="40" t="s">
        <v>40</v>
      </c>
      <c r="F24" s="41">
        <v>0.68047177491283306</v>
      </c>
      <c r="G24" s="41">
        <v>0.66103963404342514</v>
      </c>
      <c r="H24" s="41">
        <v>1.9432140869407921E-2</v>
      </c>
    </row>
    <row r="25" spans="1:8" ht="25.5">
      <c r="A25" s="5" t="s">
        <v>41</v>
      </c>
      <c r="B25" s="3" t="s">
        <v>71</v>
      </c>
      <c r="C25" s="3" t="s">
        <v>2</v>
      </c>
    </row>
    <row r="26" spans="1:8">
      <c r="A26" s="6" t="s">
        <v>42</v>
      </c>
      <c r="B26" s="9">
        <v>3.3967230918044029</v>
      </c>
      <c r="C26" s="9">
        <v>3.199347716368989</v>
      </c>
    </row>
    <row r="27" spans="1:8">
      <c r="A27" s="4" t="s">
        <v>43</v>
      </c>
      <c r="B27" s="9">
        <v>25.134236465805831</v>
      </c>
      <c r="C27" s="12">
        <v>71.000261793227253</v>
      </c>
    </row>
    <row r="28" spans="1:8">
      <c r="A28" s="4" t="s">
        <v>44</v>
      </c>
      <c r="B28" s="9">
        <v>3.4696214805617531</v>
      </c>
      <c r="C28" s="12">
        <v>10.218602983947299</v>
      </c>
    </row>
    <row r="29" spans="1:8">
      <c r="A29" s="4" t="s">
        <v>45</v>
      </c>
      <c r="B29" s="9">
        <v>18.558302501038121</v>
      </c>
      <c r="C29" s="12">
        <v>13.87462747255163</v>
      </c>
    </row>
    <row r="30" spans="1:8">
      <c r="A30" s="4" t="s">
        <v>46</v>
      </c>
      <c r="B30" s="9">
        <v>17.400258878628879</v>
      </c>
      <c r="C30" s="12">
        <v>6.1691987088617367E-2</v>
      </c>
    </row>
    <row r="31" spans="1:8">
      <c r="A31" s="4" t="s">
        <v>47</v>
      </c>
      <c r="B31" s="12">
        <v>19.77072891138592</v>
      </c>
      <c r="C31" s="12">
        <v>0</v>
      </c>
    </row>
    <row r="32" spans="1:8">
      <c r="A32" s="4" t="s">
        <v>48</v>
      </c>
      <c r="B32" s="12">
        <v>2.7949054110288931</v>
      </c>
      <c r="C32" s="12">
        <v>0</v>
      </c>
    </row>
    <row r="33" spans="1:3">
      <c r="A33" s="4" t="s">
        <v>49</v>
      </c>
      <c r="B33" s="12">
        <v>7.6183476067524163</v>
      </c>
      <c r="C33" s="12">
        <v>1.6454680468160909</v>
      </c>
    </row>
    <row r="34" spans="1:3">
      <c r="A34" s="4" t="s">
        <v>35</v>
      </c>
      <c r="B34" s="12">
        <v>1.8568756529937529</v>
      </c>
      <c r="C34" s="12">
        <v>0</v>
      </c>
    </row>
    <row r="35" spans="1:3">
      <c r="A35" s="2" t="s">
        <v>37</v>
      </c>
      <c r="B35" s="13">
        <f>SUM(B26:B34)</f>
        <v>99.999999999999972</v>
      </c>
      <c r="C35" s="13">
        <f>SUM(C26:C34)</f>
        <v>99.999999999999872</v>
      </c>
    </row>
    <row r="37" spans="1:3" ht="25.5">
      <c r="A37" s="5" t="s">
        <v>50</v>
      </c>
      <c r="B37" s="3" t="s">
        <v>71</v>
      </c>
      <c r="C37" s="3" t="s">
        <v>2</v>
      </c>
    </row>
    <row r="38" spans="1:3">
      <c r="A38" s="6" t="s">
        <v>51</v>
      </c>
      <c r="B38" s="9">
        <v>26.575802858831711</v>
      </c>
      <c r="C38" s="9">
        <v>71.283055386579605</v>
      </c>
    </row>
    <row r="39" spans="1:3">
      <c r="A39" s="4" t="s">
        <v>52</v>
      </c>
      <c r="B39" s="9">
        <v>0.560907887504423</v>
      </c>
      <c r="C39" s="12">
        <v>4.0727545135917254</v>
      </c>
    </row>
    <row r="40" spans="1:3">
      <c r="A40" s="4" t="s">
        <v>53</v>
      </c>
      <c r="B40" s="9">
        <v>7.9221833852455212</v>
      </c>
      <c r="C40" s="12">
        <v>10.408027260276</v>
      </c>
    </row>
    <row r="41" spans="1:3">
      <c r="A41" s="4" t="s">
        <v>54</v>
      </c>
      <c r="B41" s="9">
        <v>20.688875760091129</v>
      </c>
      <c r="C41" s="12">
        <v>12.73356413605052</v>
      </c>
    </row>
    <row r="42" spans="1:3">
      <c r="A42" s="4" t="s">
        <v>55</v>
      </c>
      <c r="B42" s="9">
        <v>20.28216409744066</v>
      </c>
      <c r="C42" s="12">
        <v>0.76893806967724843</v>
      </c>
    </row>
    <row r="43" spans="1:3">
      <c r="A43" s="4" t="s">
        <v>56</v>
      </c>
      <c r="B43" s="12">
        <v>18.443400108061152</v>
      </c>
      <c r="C43" s="12">
        <v>2.2698966061232432E-3</v>
      </c>
    </row>
    <row r="44" spans="1:3">
      <c r="A44" s="4" t="s">
        <v>57</v>
      </c>
      <c r="B44" s="12">
        <v>0.30456903797134299</v>
      </c>
      <c r="C44" s="12">
        <v>0</v>
      </c>
    </row>
    <row r="45" spans="1:3">
      <c r="A45" s="4" t="s">
        <v>58</v>
      </c>
      <c r="B45" s="12">
        <v>3.3652212118602711</v>
      </c>
      <c r="C45" s="12">
        <v>0.73139073721869352</v>
      </c>
    </row>
    <row r="46" spans="1:3">
      <c r="A46" s="4" t="s">
        <v>35</v>
      </c>
      <c r="B46" s="12">
        <v>1.8568756529937529</v>
      </c>
      <c r="C46" s="12">
        <v>0</v>
      </c>
    </row>
    <row r="47" spans="1:3">
      <c r="A47" s="2" t="s">
        <v>37</v>
      </c>
      <c r="B47" s="13">
        <f>SUM(B38:B46)</f>
        <v>99.999999999999972</v>
      </c>
      <c r="C47" s="13">
        <f>SUM(C38:C46)</f>
        <v>99.999999999999901</v>
      </c>
    </row>
    <row r="49" spans="1:35" ht="26.25">
      <c r="Q49" s="16" t="s">
        <v>59</v>
      </c>
      <c r="R49" s="16" t="s">
        <v>71</v>
      </c>
      <c r="S49" s="16" t="s">
        <v>2</v>
      </c>
      <c r="T49" s="17" t="s">
        <v>60</v>
      </c>
      <c r="U49" s="18"/>
      <c r="V49" s="16" t="s">
        <v>59</v>
      </c>
      <c r="W49" s="16" t="s">
        <v>71</v>
      </c>
      <c r="X49" s="16" t="s">
        <v>2</v>
      </c>
      <c r="Y49" s="17" t="s">
        <v>60</v>
      </c>
      <c r="AA49" s="19" t="s">
        <v>61</v>
      </c>
      <c r="AB49" s="16" t="s">
        <v>71</v>
      </c>
      <c r="AC49" s="16" t="s">
        <v>2</v>
      </c>
      <c r="AD49" s="20" t="s">
        <v>60</v>
      </c>
      <c r="AE49" s="21"/>
      <c r="AF49" s="22" t="s">
        <v>62</v>
      </c>
      <c r="AG49" s="16" t="s">
        <v>71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19.32316757005567</v>
      </c>
      <c r="C52" s="53">
        <v>38.280373394761988</v>
      </c>
      <c r="D52" s="53">
        <v>-18.957205824706321</v>
      </c>
      <c r="E52" s="53">
        <v>1.167422005382547</v>
      </c>
      <c r="F52" s="53">
        <v>2.331390153036172</v>
      </c>
      <c r="G52" s="53">
        <v>-1.163968147653625</v>
      </c>
      <c r="H52" s="53">
        <v>0.58618577149316908</v>
      </c>
      <c r="I52" s="53">
        <v>-0.12580783095914194</v>
      </c>
      <c r="J52" s="54">
        <v>5.4114133190316878</v>
      </c>
      <c r="K52" s="54">
        <v>1.0456564635448042</v>
      </c>
      <c r="L52" s="54">
        <v>0.70649175179833668</v>
      </c>
      <c r="M52" s="53">
        <v>6.6508487403217853E-2</v>
      </c>
      <c r="N52" s="53">
        <v>1.2851546469233151E-2</v>
      </c>
      <c r="O52" s="53">
        <v>-7.2396335055945088E-2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0.38011759925000338</v>
      </c>
      <c r="C53" s="56">
        <v>2.2837246791452497</v>
      </c>
      <c r="D53" s="56">
        <v>-1.9036070798952462</v>
      </c>
      <c r="E53" s="56">
        <v>4.7228192592053041E-2</v>
      </c>
      <c r="F53" s="56">
        <v>8.7108666114331032E-2</v>
      </c>
      <c r="G53" s="56">
        <v>-3.9880473522277991E-2</v>
      </c>
      <c r="H53" s="56">
        <v>1.1714090745125695E-2</v>
      </c>
      <c r="I53" s="56">
        <v>-2.7998363985128116E-2</v>
      </c>
      <c r="J53" s="57">
        <v>50.929089417492413</v>
      </c>
      <c r="K53" s="57">
        <v>0.19359043201365969</v>
      </c>
      <c r="L53" s="57">
        <v>-0.19317146608919247</v>
      </c>
      <c r="M53" s="56">
        <v>12.128841466192927</v>
      </c>
      <c r="N53" s="56">
        <v>4.610386099813147E-2</v>
      </c>
      <c r="O53" s="56">
        <v>-3.9144020527046762E-2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14.324021840162127</v>
      </c>
      <c r="C54" s="56">
        <v>35.996648715616743</v>
      </c>
      <c r="D54" s="56">
        <v>-21.672626875454615</v>
      </c>
      <c r="E54" s="56">
        <v>1.9317177169162734</v>
      </c>
      <c r="F54" s="56">
        <v>2.244281486921841</v>
      </c>
      <c r="G54" s="56">
        <v>-0.31256377000556768</v>
      </c>
      <c r="H54" s="56">
        <v>0.40856190682641957</v>
      </c>
      <c r="I54" s="56">
        <v>-0.26371924089563759</v>
      </c>
      <c r="J54" s="57">
        <v>2.1997648343533478</v>
      </c>
      <c r="K54" s="57">
        <v>0.31509479530497986</v>
      </c>
      <c r="L54" s="57">
        <v>0.3626919816613644</v>
      </c>
      <c r="M54" s="56">
        <v>-0.23214370167786583</v>
      </c>
      <c r="N54" s="56">
        <v>-3.3252314528898319E-2</v>
      </c>
      <c r="O54" s="56">
        <v>-3.3252314528898319E-2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4.2542455101329963</v>
      </c>
      <c r="C55" s="59">
        <v>35.996648715616743</v>
      </c>
      <c r="D55" s="59">
        <v>-31.742403205483743</v>
      </c>
      <c r="E55" s="59">
        <v>0.40018411637179169</v>
      </c>
      <c r="F55" s="59">
        <v>2.244281486921841</v>
      </c>
      <c r="G55" s="59">
        <v>-1.8440973705500494</v>
      </c>
      <c r="H55" s="59">
        <v>9.5308288749603898E-2</v>
      </c>
      <c r="I55" s="59">
        <v>-0.57697285897245321</v>
      </c>
      <c r="J55" s="60">
        <v>1.7947669538642126</v>
      </c>
      <c r="K55" s="60">
        <v>7.6353792552119007E-2</v>
      </c>
      <c r="L55" s="60">
        <v>0.12395097890850357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10.069776330029132</v>
      </c>
      <c r="C56" s="61" t="s">
        <v>14</v>
      </c>
      <c r="D56" s="59">
        <v>10.069776330029132</v>
      </c>
      <c r="E56" s="59">
        <v>0.99116060346468926</v>
      </c>
      <c r="F56" s="59" t="s">
        <v>14</v>
      </c>
      <c r="G56" s="59">
        <v>0.99116060346468926</v>
      </c>
      <c r="H56" s="59">
        <v>0.25006234529450277</v>
      </c>
      <c r="I56" s="59">
        <v>0.25006234529450277</v>
      </c>
      <c r="J56" s="60">
        <v>2.4189502087197456</v>
      </c>
      <c r="K56" s="60">
        <v>0.24358287555285127</v>
      </c>
      <c r="L56" s="60">
        <v>0.24358287555285127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0.57402262656517089</v>
      </c>
      <c r="F57" s="59" t="s">
        <v>14</v>
      </c>
      <c r="G57" s="59">
        <v>0.57402262656517089</v>
      </c>
      <c r="H57" s="59">
        <v>6.7605329484113325E-2</v>
      </c>
      <c r="I57" s="59">
        <v>6.7605329484113325E-2</v>
      </c>
      <c r="J57" s="60">
        <v>-0.50955962631677387</v>
      </c>
      <c r="K57" s="60">
        <v>-5.7066469816460432E-3</v>
      </c>
      <c r="L57" s="60">
        <v>-5.7066469816460432E-3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-3.3649629485378495E-2</v>
      </c>
      <c r="F58" s="59" t="s">
        <v>14</v>
      </c>
      <c r="G58" s="59">
        <v>-3.3649629485378495E-2</v>
      </c>
      <c r="H58" s="59">
        <v>-4.4140567018003899E-3</v>
      </c>
      <c r="I58" s="59">
        <v>-4.4140567018003899E-3</v>
      </c>
      <c r="J58" s="60">
        <v>-0.24120295760334898</v>
      </c>
      <c r="K58" s="60">
        <v>8.6477418165561764E-4</v>
      </c>
      <c r="L58" s="60">
        <v>8.6477418165561764E-4</v>
      </c>
      <c r="M58" s="59">
        <v>9.2747410615007748</v>
      </c>
      <c r="N58" s="59">
        <v>-3.3252314528898319E-2</v>
      </c>
      <c r="O58" s="59">
        <v>-3.3252314528898319E-2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109</v>
      </c>
      <c r="B59" s="56">
        <v>0.35652552540277738</v>
      </c>
      <c r="C59" s="62" t="s">
        <v>14</v>
      </c>
      <c r="D59" s="56">
        <v>0.35652552540277738</v>
      </c>
      <c r="E59" s="56">
        <v>5.2223436792666389E-2</v>
      </c>
      <c r="F59" s="56" t="s">
        <v>14</v>
      </c>
      <c r="G59" s="56">
        <v>5.2223436792666389E-2</v>
      </c>
      <c r="H59" s="56">
        <v>1.3796123626640344E-2</v>
      </c>
      <c r="I59" s="56">
        <v>1.3796123626640344E-2</v>
      </c>
      <c r="J59" s="57">
        <v>49.768734061187097</v>
      </c>
      <c r="K59" s="57">
        <v>0.17743824059795835</v>
      </c>
      <c r="L59" s="57">
        <v>0.17743824059795835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8" t="s">
        <v>110</v>
      </c>
      <c r="B60" s="59">
        <v>0.35652552540277738</v>
      </c>
      <c r="C60" s="61" t="s">
        <v>14</v>
      </c>
      <c r="D60" s="59">
        <v>0.35652552540277738</v>
      </c>
      <c r="E60" s="59">
        <v>5.2223436792666389E-2</v>
      </c>
      <c r="F60" s="59" t="s">
        <v>14</v>
      </c>
      <c r="G60" s="59">
        <v>5.2223436792666389E-2</v>
      </c>
      <c r="H60" s="59">
        <v>1.3796123626640344E-2</v>
      </c>
      <c r="I60" s="59">
        <v>1.3796123626640344E-2</v>
      </c>
      <c r="J60" s="60">
        <v>49.768734061187097</v>
      </c>
      <c r="K60" s="60">
        <v>0.17743824059795835</v>
      </c>
      <c r="L60" s="60">
        <v>0.17743824059795835</v>
      </c>
      <c r="M60" s="59" t="s">
        <v>14</v>
      </c>
      <c r="N60" s="59" t="s">
        <v>14</v>
      </c>
      <c r="O60" s="59" t="s">
        <v>14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111</v>
      </c>
      <c r="B61" s="56">
        <v>4.262502605240762</v>
      </c>
      <c r="C61" s="62" t="s">
        <v>14</v>
      </c>
      <c r="D61" s="56">
        <v>4.262502605240762</v>
      </c>
      <c r="E61" s="56">
        <v>-0.86374734091844574</v>
      </c>
      <c r="F61" s="56" t="s">
        <v>14</v>
      </c>
      <c r="G61" s="56">
        <v>-0.86374734091844574</v>
      </c>
      <c r="H61" s="56">
        <v>0.15211365029498344</v>
      </c>
      <c r="I61" s="56">
        <v>0.15211365029498344</v>
      </c>
      <c r="J61" s="57">
        <v>8.4347865309491983</v>
      </c>
      <c r="K61" s="57">
        <v>0.35953299562820634</v>
      </c>
      <c r="L61" s="57">
        <v>0.35953299562820634</v>
      </c>
      <c r="M61" s="56" t="s">
        <v>14</v>
      </c>
      <c r="N61" s="56" t="s">
        <v>14</v>
      </c>
      <c r="O61" s="56" t="s">
        <v>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112</v>
      </c>
      <c r="B62" s="64">
        <v>42.443079373190265</v>
      </c>
      <c r="C62" s="64">
        <v>30.326231137594196</v>
      </c>
      <c r="D62" s="64">
        <v>12.116848235596066</v>
      </c>
      <c r="E62" s="64">
        <v>1.1018912820905276</v>
      </c>
      <c r="F62" s="64">
        <v>1.4472224848749577</v>
      </c>
      <c r="G62" s="64">
        <v>-0.34533120278443019</v>
      </c>
      <c r="H62" s="64">
        <v>1.3471533847558481</v>
      </c>
      <c r="I62" s="64">
        <v>0.49471621501774321</v>
      </c>
      <c r="J62" s="65">
        <v>95.595469929141274</v>
      </c>
      <c r="K62" s="65">
        <v>40.573661179199654</v>
      </c>
      <c r="L62" s="65">
        <v>33.183433730267751</v>
      </c>
      <c r="M62" s="64">
        <v>4.2883580576459739</v>
      </c>
      <c r="N62" s="64">
        <v>1.8201112142132811</v>
      </c>
      <c r="O62" s="64">
        <v>0.18914159921117735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113</v>
      </c>
      <c r="B63" s="56">
        <v>21.294274217395408</v>
      </c>
      <c r="C63" s="56">
        <v>28.100938891367861</v>
      </c>
      <c r="D63" s="56">
        <v>-6.8066646739724508</v>
      </c>
      <c r="E63" s="56">
        <v>1.0276007723851068</v>
      </c>
      <c r="F63" s="56">
        <v>1.3393581882522125</v>
      </c>
      <c r="G63" s="56">
        <v>-0.3117574158671057</v>
      </c>
      <c r="H63" s="56">
        <v>0.61498019780392066</v>
      </c>
      <c r="I63" s="56">
        <v>-0.18047885510422934</v>
      </c>
      <c r="J63" s="57">
        <v>13.433540221907737</v>
      </c>
      <c r="K63" s="57">
        <v>2.8605748919571417</v>
      </c>
      <c r="L63" s="57">
        <v>-2.9478149772440272</v>
      </c>
      <c r="M63" s="56">
        <v>5.3532060861217765</v>
      </c>
      <c r="N63" s="56">
        <v>1.1399263834010711</v>
      </c>
      <c r="O63" s="56">
        <v>-0.38494394011491839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114</v>
      </c>
      <c r="B64" s="56">
        <v>16.51963501324666</v>
      </c>
      <c r="C64" s="62" t="s">
        <v>14</v>
      </c>
      <c r="D64" s="56">
        <v>16.51963501324666</v>
      </c>
      <c r="E64" s="56">
        <v>1.3760855966034468E-2</v>
      </c>
      <c r="F64" s="56" t="s">
        <v>14</v>
      </c>
      <c r="G64" s="56">
        <v>1.3760855966034468E-2</v>
      </c>
      <c r="H64" s="56">
        <v>0.63736320523649226</v>
      </c>
      <c r="I64" s="56">
        <v>0.63736320523649226</v>
      </c>
      <c r="J64" s="57">
        <v>200.72492549810215</v>
      </c>
      <c r="K64" s="57">
        <v>33.159025072897755</v>
      </c>
      <c r="L64" s="57">
        <v>33.159025072897755</v>
      </c>
      <c r="M64" s="56">
        <v>3.7329658873511837</v>
      </c>
      <c r="N64" s="56">
        <v>0.61667233975942015</v>
      </c>
      <c r="O64" s="56">
        <v>0.61667233975942015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115</v>
      </c>
      <c r="B65" s="56">
        <v>1.5880694260082335</v>
      </c>
      <c r="C65" s="56">
        <v>1.7066456783670212</v>
      </c>
      <c r="D65" s="56">
        <v>-0.11857625235878778</v>
      </c>
      <c r="E65" s="56">
        <v>4.5708048494881692E-2</v>
      </c>
      <c r="F65" s="56">
        <v>9.5279285065683714E-2</v>
      </c>
      <c r="G65" s="56">
        <v>-4.9571236570802021E-2</v>
      </c>
      <c r="H65" s="56">
        <v>5.7747863266222492E-2</v>
      </c>
      <c r="I65" s="56">
        <v>1.0757136947563979E-2</v>
      </c>
      <c r="J65" s="57">
        <v>190.43439776192415</v>
      </c>
      <c r="K65" s="57">
        <v>3.0242304474600252</v>
      </c>
      <c r="L65" s="57">
        <v>1.7468734600918092</v>
      </c>
      <c r="M65" s="56">
        <v>2.841356835721871</v>
      </c>
      <c r="N65" s="56">
        <v>4.5122719191894013E-2</v>
      </c>
      <c r="O65" s="56">
        <v>-4.8564505397836806E-2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116</v>
      </c>
      <c r="B66" s="56">
        <v>3.0411007165399608</v>
      </c>
      <c r="C66" s="56">
        <v>0.44305072411314467</v>
      </c>
      <c r="D66" s="56">
        <v>2.5980499924268159</v>
      </c>
      <c r="E66" s="56">
        <v>1.4821605244504521E-2</v>
      </c>
      <c r="F66" s="56">
        <v>1.0294854169898214E-2</v>
      </c>
      <c r="G66" s="56">
        <v>4.5267510746063062E-3</v>
      </c>
      <c r="H66" s="56">
        <v>3.7062118449212714E-2</v>
      </c>
      <c r="I66" s="56">
        <v>2.8652255156680018E-2</v>
      </c>
      <c r="J66" s="57">
        <v>50.30516610529466</v>
      </c>
      <c r="K66" s="57">
        <v>1.5298307668847331</v>
      </c>
      <c r="L66" s="57">
        <v>1.2686068677889266</v>
      </c>
      <c r="M66" s="56">
        <v>0.6047077546914974</v>
      </c>
      <c r="N66" s="56">
        <v>1.8389771860895833E-2</v>
      </c>
      <c r="O66" s="56">
        <v>8.2415793782282861E-3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117</v>
      </c>
      <c r="B67" s="66" t="s">
        <v>14</v>
      </c>
      <c r="C67" s="56">
        <v>7.5595843746166139E-2</v>
      </c>
      <c r="D67" s="56">
        <v>-7.5595843746166139E-2</v>
      </c>
      <c r="E67" s="56" t="s">
        <v>14</v>
      </c>
      <c r="F67" s="56">
        <v>2.2901573871632304E-3</v>
      </c>
      <c r="G67" s="56">
        <v>-2.2901573871632304E-3</v>
      </c>
      <c r="H67" s="56" t="s">
        <v>14</v>
      </c>
      <c r="I67" s="56">
        <v>-1.577527218763683E-3</v>
      </c>
      <c r="J67" s="57" t="s">
        <v>14</v>
      </c>
      <c r="K67" s="57" t="s">
        <v>14</v>
      </c>
      <c r="L67" s="57">
        <v>-4.3256693266710666E-2</v>
      </c>
      <c r="M67" s="56" t="s">
        <v>14</v>
      </c>
      <c r="N67" s="56" t="s">
        <v>14</v>
      </c>
      <c r="O67" s="56">
        <v>-2.263874413716021E-3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63" t="s">
        <v>119</v>
      </c>
      <c r="B68" s="64">
        <v>20.232727911031809</v>
      </c>
      <c r="C68" s="64">
        <v>31.393395467643693</v>
      </c>
      <c r="D68" s="64">
        <v>-11.160667556611884</v>
      </c>
      <c r="E68" s="64">
        <v>1.936088123462345</v>
      </c>
      <c r="F68" s="64">
        <v>2.2648323271171873</v>
      </c>
      <c r="G68" s="64">
        <v>-0.32874420365484225</v>
      </c>
      <c r="H68" s="64">
        <v>0.86547267239075554</v>
      </c>
      <c r="I68" s="64">
        <v>-0.13262658585521248</v>
      </c>
      <c r="J68" s="65">
        <v>184.9074387306693</v>
      </c>
      <c r="K68" s="65">
        <v>37.411818965634154</v>
      </c>
      <c r="L68" s="65">
        <v>2.708936820272406</v>
      </c>
      <c r="M68" s="64">
        <v>9.2173906423163494</v>
      </c>
      <c r="N68" s="64">
        <v>1.864929569156774</v>
      </c>
      <c r="O68" s="64">
        <v>-0.33419151807743952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5" t="s">
        <v>120</v>
      </c>
      <c r="B69" s="56">
        <v>20.232727911031809</v>
      </c>
      <c r="C69" s="56">
        <v>25.829613674930286</v>
      </c>
      <c r="D69" s="56">
        <v>-5.5968857638984764</v>
      </c>
      <c r="E69" s="56">
        <v>1.936088123462345</v>
      </c>
      <c r="F69" s="56">
        <v>1.9280943793153889</v>
      </c>
      <c r="G69" s="56">
        <v>7.9937441469561943E-3</v>
      </c>
      <c r="H69" s="56">
        <v>0.86547267239075554</v>
      </c>
      <c r="I69" s="56">
        <v>2.2200664817230265E-2</v>
      </c>
      <c r="J69" s="57">
        <v>184.9074387306693</v>
      </c>
      <c r="K69" s="57">
        <v>37.411818965634154</v>
      </c>
      <c r="L69" s="57">
        <v>7.5373306672685096</v>
      </c>
      <c r="M69" s="56">
        <v>9.2173906423163494</v>
      </c>
      <c r="N69" s="56">
        <v>1.864929569156774</v>
      </c>
      <c r="O69" s="56">
        <v>-6.7313960516328653E-3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8" t="s">
        <v>121</v>
      </c>
      <c r="B70" s="59">
        <v>5.5563991159001151</v>
      </c>
      <c r="C70" s="59">
        <v>8.2084648168931782</v>
      </c>
      <c r="D70" s="59">
        <v>-2.652065700993063</v>
      </c>
      <c r="E70" s="59">
        <v>0.4301721708232939</v>
      </c>
      <c r="F70" s="59">
        <v>0.48995511988414681</v>
      </c>
      <c r="G70" s="59">
        <v>-5.9782949060852908E-2</v>
      </c>
      <c r="H70" s="59">
        <v>0.21248313238859792</v>
      </c>
      <c r="I70" s="59">
        <v>-3.7706429168805983E-2</v>
      </c>
      <c r="J70" s="60">
        <v>156.77049954314964</v>
      </c>
      <c r="K70" s="60">
        <v>8.7107946506077614</v>
      </c>
      <c r="L70" s="60">
        <v>-0.41391769908129561</v>
      </c>
      <c r="M70" s="59">
        <v>7.5165653169259334</v>
      </c>
      <c r="N70" s="59">
        <v>0.41765036881572737</v>
      </c>
      <c r="O70" s="59">
        <v>-6.1501462797095063E-2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8" t="s">
        <v>122</v>
      </c>
      <c r="B71" s="59">
        <v>14.334810006933798</v>
      </c>
      <c r="C71" s="59">
        <v>15.63552651090869</v>
      </c>
      <c r="D71" s="59">
        <v>-1.3007165039748914</v>
      </c>
      <c r="E71" s="59">
        <v>1.4759653176116381</v>
      </c>
      <c r="F71" s="59">
        <v>1.2467024986226607</v>
      </c>
      <c r="G71" s="59">
        <v>0.22926281898897738</v>
      </c>
      <c r="H71" s="59">
        <v>0.64185660532926958</v>
      </c>
      <c r="I71" s="59">
        <v>0.1171863656329416</v>
      </c>
      <c r="J71" s="60">
        <v>198.21799715207754</v>
      </c>
      <c r="K71" s="60">
        <v>28.414173291299758</v>
      </c>
      <c r="L71" s="60">
        <v>9.8978109450096312</v>
      </c>
      <c r="M71" s="59">
        <v>9.8921387781468653</v>
      </c>
      <c r="N71" s="59">
        <v>1.4180192994695757</v>
      </c>
      <c r="O71" s="59">
        <v>0.21039309666991657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58" t="s">
        <v>123</v>
      </c>
      <c r="B72" s="59">
        <v>0.34151878819789366</v>
      </c>
      <c r="C72" s="59">
        <v>1.9856223471284198</v>
      </c>
      <c r="D72" s="59">
        <v>-1.644103558930526</v>
      </c>
      <c r="E72" s="59">
        <v>2.9950635027412971E-2</v>
      </c>
      <c r="F72" s="59">
        <v>0.19143676080858149</v>
      </c>
      <c r="G72" s="59">
        <v>-0.16148612578116853</v>
      </c>
      <c r="H72" s="59">
        <v>1.1132934672887961E-2</v>
      </c>
      <c r="I72" s="59">
        <v>-5.7279271646905452E-2</v>
      </c>
      <c r="J72" s="60">
        <v>83.992750513163671</v>
      </c>
      <c r="K72" s="60">
        <v>0.28685102372663668</v>
      </c>
      <c r="L72" s="60">
        <v>-1.9465625786598233</v>
      </c>
      <c r="M72" s="59">
        <v>8.5675816038900479</v>
      </c>
      <c r="N72" s="59">
        <v>2.9259900871470953E-2</v>
      </c>
      <c r="O72" s="59">
        <v>-0.15562302992445437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55" t="s">
        <v>124</v>
      </c>
      <c r="B73" s="66" t="s">
        <v>14</v>
      </c>
      <c r="C73" s="56">
        <v>5.5637817927134066</v>
      </c>
      <c r="D73" s="56">
        <v>-5.5637817927134066</v>
      </c>
      <c r="E73" s="56" t="s">
        <v>14</v>
      </c>
      <c r="F73" s="56">
        <v>0.33673794780179855</v>
      </c>
      <c r="G73" s="56">
        <v>-0.33673794780179855</v>
      </c>
      <c r="H73" s="56" t="s">
        <v>14</v>
      </c>
      <c r="I73" s="56">
        <v>-0.15482725067244277</v>
      </c>
      <c r="J73" s="57" t="s">
        <v>14</v>
      </c>
      <c r="K73" s="57" t="s">
        <v>14</v>
      </c>
      <c r="L73" s="57">
        <v>-4.8283938469961027</v>
      </c>
      <c r="M73" s="56" t="s">
        <v>14</v>
      </c>
      <c r="N73" s="56" t="s">
        <v>14</v>
      </c>
      <c r="O73" s="56">
        <v>-0.32746012202580649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125</v>
      </c>
      <c r="B74" s="64">
        <v>15.20965019770671</v>
      </c>
      <c r="C74" s="67" t="s">
        <v>14</v>
      </c>
      <c r="D74" s="64">
        <v>15.20965019770671</v>
      </c>
      <c r="E74" s="64">
        <v>0.6045717957390172</v>
      </c>
      <c r="F74" s="64" t="s">
        <v>14</v>
      </c>
      <c r="G74" s="64">
        <v>0.6045717957390172</v>
      </c>
      <c r="H74" s="64">
        <v>0.81617528244234805</v>
      </c>
      <c r="I74" s="64">
        <v>0.81617528244234805</v>
      </c>
      <c r="J74" s="65">
        <v>343.63915896023514</v>
      </c>
      <c r="K74" s="65">
        <v>52.266314020193064</v>
      </c>
      <c r="L74" s="65">
        <v>52.266314020193064</v>
      </c>
      <c r="M74" s="64">
        <v>3.7942081201117972</v>
      </c>
      <c r="N74" s="64">
        <v>0.57708578284198797</v>
      </c>
      <c r="O74" s="64">
        <v>0.57708578284198797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131</v>
      </c>
      <c r="B75" s="64">
        <v>0.23747894661121319</v>
      </c>
      <c r="C75" s="67" t="s">
        <v>14</v>
      </c>
      <c r="D75" s="64">
        <v>0.23747894661121319</v>
      </c>
      <c r="E75" s="64">
        <v>3.6339315955931156E-3</v>
      </c>
      <c r="F75" s="64" t="s">
        <v>14</v>
      </c>
      <c r="G75" s="64">
        <v>3.6339315955931156E-3</v>
      </c>
      <c r="H75" s="64" t="s">
        <v>14</v>
      </c>
      <c r="I75" s="64" t="s">
        <v>14</v>
      </c>
      <c r="J75" s="65">
        <v>3867.6287775363667</v>
      </c>
      <c r="K75" s="65">
        <v>9.1848040797255059</v>
      </c>
      <c r="L75" s="65">
        <v>9.1848040797255059</v>
      </c>
      <c r="M75" s="64">
        <v>52.292361022859787</v>
      </c>
      <c r="N75" s="64">
        <v>0.12418334811522004</v>
      </c>
      <c r="O75" s="64">
        <v>0.12418334811522004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3" t="s">
        <v>126</v>
      </c>
      <c r="B76" s="64">
        <v>8.9410828182660698</v>
      </c>
      <c r="C76" s="67" t="s">
        <v>14</v>
      </c>
      <c r="D76" s="64">
        <v>8.9410828182660698</v>
      </c>
      <c r="E76" s="64">
        <v>2.0925848617534364E-2</v>
      </c>
      <c r="F76" s="64" t="s">
        <v>14</v>
      </c>
      <c r="G76" s="64">
        <v>2.0925848617534364E-2</v>
      </c>
      <c r="H76" s="64">
        <v>0.38448886570949564</v>
      </c>
      <c r="I76" s="64">
        <v>0.38448886570949564</v>
      </c>
      <c r="J76" s="65">
        <v>354.80985225645287</v>
      </c>
      <c r="K76" s="65">
        <v>31.723842737616931</v>
      </c>
      <c r="L76" s="65">
        <v>31.723842737616931</v>
      </c>
      <c r="M76" s="64">
        <v>4.2399073917378924</v>
      </c>
      <c r="N76" s="64">
        <v>0.37909363131306972</v>
      </c>
      <c r="O76" s="64">
        <v>0.37909363131306972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77" s="63" t="s">
        <v>127</v>
      </c>
      <c r="B77" s="64">
        <v>3.5375481340534023</v>
      </c>
      <c r="C77" s="67" t="s">
        <v>14</v>
      </c>
      <c r="D77" s="64">
        <v>3.5375481340534023</v>
      </c>
      <c r="E77" s="64">
        <v>0.25251026727590675</v>
      </c>
      <c r="F77" s="64" t="s">
        <v>14</v>
      </c>
      <c r="G77" s="64">
        <v>0.25251026727590675</v>
      </c>
      <c r="H77" s="64">
        <v>0.1839547323275644</v>
      </c>
      <c r="I77" s="64">
        <v>0.1839547323275644</v>
      </c>
      <c r="J77" s="65">
        <v>295.49513118913882</v>
      </c>
      <c r="K77" s="65">
        <v>10.453282499600032</v>
      </c>
      <c r="L77" s="65">
        <v>10.453282499600032</v>
      </c>
      <c r="M77" s="64">
        <v>6.9497324821917168</v>
      </c>
      <c r="N77" s="64">
        <v>0.24585013174547629</v>
      </c>
      <c r="O77" s="64">
        <v>0.24585013174547629</v>
      </c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78" s="63" t="s">
        <v>128</v>
      </c>
      <c r="B78" s="64">
        <v>1.856875652993754</v>
      </c>
      <c r="C78" s="67" t="s">
        <v>14</v>
      </c>
      <c r="D78" s="64">
        <v>1.856875652993754</v>
      </c>
      <c r="E78" s="64">
        <v>5.8531694213379299E-3</v>
      </c>
      <c r="F78" s="64" t="s">
        <v>14</v>
      </c>
      <c r="G78" s="64">
        <v>5.8531694213379299E-3</v>
      </c>
      <c r="H78" s="64">
        <v>9.9264005568086341E-3</v>
      </c>
      <c r="I78" s="64">
        <v>9.9264005568086341E-3</v>
      </c>
      <c r="J78" s="65">
        <v>-3.2879578555941062</v>
      </c>
      <c r="K78" s="65">
        <v>-6.1053288901222497E-2</v>
      </c>
      <c r="L78" s="65">
        <v>-6.1053288901222497E-2</v>
      </c>
      <c r="M78" s="64">
        <v>2.1949154802719317E-9</v>
      </c>
      <c r="N78" s="64">
        <v>4.0756851156920862E-11</v>
      </c>
      <c r="O78" s="64">
        <v>4.0756851156920862E-11</v>
      </c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79" s="63" t="s">
        <v>129</v>
      </c>
      <c r="B79" s="64">
        <v>-11.781610603908911</v>
      </c>
      <c r="C79" s="67" t="s">
        <v>14</v>
      </c>
      <c r="D79" s="64">
        <v>-11.781610603908911</v>
      </c>
      <c r="E79" s="64">
        <v>-1.1781610603908913E-4</v>
      </c>
      <c r="F79" s="64" t="s">
        <v>14</v>
      </c>
      <c r="G79" s="64">
        <v>-1.1781610603908913E-4</v>
      </c>
      <c r="H79" s="64">
        <v>-8.7797311216052124E-2</v>
      </c>
      <c r="I79" s="64">
        <v>-8.7797311216052124E-2</v>
      </c>
      <c r="J79" s="65">
        <v>1.0000000000000005E-3</v>
      </c>
      <c r="K79" s="65">
        <v>-1.1781610603908913E-4</v>
      </c>
      <c r="L79" s="65">
        <v>-1.1781610603908913E-4</v>
      </c>
      <c r="M79" s="64">
        <v>1.0000000000000005E-3</v>
      </c>
      <c r="N79" s="64">
        <v>-1.1781610603908913E-4</v>
      </c>
      <c r="O79" s="64">
        <v>-1.1781610603908913E-4</v>
      </c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>
      <c r="A80" s="68" t="s">
        <v>37</v>
      </c>
      <c r="B80" s="69">
        <v>99.999999999999972</v>
      </c>
      <c r="C80" s="69">
        <v>99.999999999999872</v>
      </c>
      <c r="D80" s="69">
        <v>9.9920072216264089E-14</v>
      </c>
      <c r="E80" s="69">
        <v>5.0927786074787686</v>
      </c>
      <c r="F80" s="69">
        <v>6.0434449650283169</v>
      </c>
      <c r="G80" s="69">
        <v>-0.9506663575495482</v>
      </c>
      <c r="H80" s="69">
        <v>4.1055597984599368</v>
      </c>
      <c r="I80" s="69">
        <v>1.543029768023553</v>
      </c>
      <c r="J80" s="70">
        <v>182.59820884050694</v>
      </c>
      <c r="K80" s="70">
        <v>182.59820884050686</v>
      </c>
      <c r="L80" s="70">
        <v>140.16593453446674</v>
      </c>
      <c r="M80" s="69">
        <v>5.0239874077897611</v>
      </c>
      <c r="N80" s="69">
        <v>5.0239874077897602</v>
      </c>
      <c r="O80" s="69">
        <v>1.1086488240282648</v>
      </c>
    </row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73</v>
      </c>
      <c r="C1" s="3" t="s">
        <v>2</v>
      </c>
    </row>
    <row r="2" spans="1:8">
      <c r="A2" s="4" t="s">
        <v>3</v>
      </c>
      <c r="B2" s="9">
        <v>5.5357188631171832</v>
      </c>
      <c r="C2" s="9">
        <v>6.0434449650283124</v>
      </c>
    </row>
    <row r="3" spans="1:8">
      <c r="A3" s="4" t="s">
        <v>4</v>
      </c>
      <c r="B3" s="10">
        <v>193.34734490322441</v>
      </c>
      <c r="C3" s="10">
        <v>42.432274306040092</v>
      </c>
    </row>
    <row r="4" spans="1:8">
      <c r="A4" s="4" t="s">
        <v>5</v>
      </c>
      <c r="B4" s="9">
        <v>5.2766515181939306</v>
      </c>
      <c r="C4" s="9">
        <v>3.9153385837614918</v>
      </c>
    </row>
    <row r="5" spans="1:8">
      <c r="A5" s="4" t="s">
        <v>6</v>
      </c>
      <c r="B5" s="9">
        <v>8.599534937940092</v>
      </c>
      <c r="C5" s="9">
        <v>8.0974581706530824</v>
      </c>
    </row>
    <row r="6" spans="1:8">
      <c r="A6" s="4" t="s">
        <v>7</v>
      </c>
      <c r="B6" s="9">
        <v>4.2613788822644798</v>
      </c>
      <c r="C6" s="9">
        <v>2.5663455010456371</v>
      </c>
    </row>
    <row r="7" spans="1:8">
      <c r="A7" s="4" t="s">
        <v>8</v>
      </c>
      <c r="B7" s="9">
        <v>4.1844627519519566</v>
      </c>
      <c r="C7" s="9">
        <v>2.5625300304363852</v>
      </c>
    </row>
    <row r="8" spans="1:8">
      <c r="A8" s="4" t="s">
        <v>9</v>
      </c>
      <c r="B8" s="9">
        <v>2.758530301306652</v>
      </c>
      <c r="C8" s="9">
        <v>3.0752740867933479</v>
      </c>
    </row>
    <row r="9" spans="1:8">
      <c r="A9" s="4" t="s">
        <v>10</v>
      </c>
      <c r="B9" s="9" t="s">
        <v>11</v>
      </c>
      <c r="C9" s="9" t="s">
        <v>12</v>
      </c>
    </row>
    <row r="10" spans="1:8">
      <c r="A10" s="4" t="s">
        <v>13</v>
      </c>
      <c r="B10" s="39">
        <v>161599183.96530351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73</v>
      </c>
      <c r="C12" s="3" t="s">
        <v>2</v>
      </c>
    </row>
    <row r="13" spans="1:8">
      <c r="A13" s="6" t="s">
        <v>16</v>
      </c>
      <c r="B13" s="9">
        <v>28.036782286401639</v>
      </c>
      <c r="C13" s="9">
        <v>71.440060046559267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1.0008230230574799</v>
      </c>
      <c r="C14" s="12">
        <v>4.1253122696162983</v>
      </c>
      <c r="E14" s="40" t="s">
        <v>22</v>
      </c>
      <c r="F14" s="41">
        <v>5.0588937597683153E-2</v>
      </c>
      <c r="G14" s="41">
        <v>2.3062687079547631E-2</v>
      </c>
      <c r="H14" s="41">
        <v>2.752625051813553E-2</v>
      </c>
    </row>
    <row r="15" spans="1:8">
      <c r="A15" s="4" t="s">
        <v>23</v>
      </c>
      <c r="B15" s="9">
        <v>4.2054594483538921</v>
      </c>
      <c r="C15" s="12">
        <v>10.66130068619055</v>
      </c>
      <c r="E15" s="40" t="s">
        <v>24</v>
      </c>
      <c r="F15" s="41">
        <v>7.9908784745594721E-2</v>
      </c>
      <c r="G15" s="41">
        <v>0.12020149987731001</v>
      </c>
      <c r="H15" s="41">
        <v>-4.0292715131715298E-2</v>
      </c>
    </row>
    <row r="16" spans="1:8">
      <c r="A16" s="4" t="s">
        <v>25</v>
      </c>
      <c r="B16" s="9">
        <v>20.528302064458419</v>
      </c>
      <c r="C16" s="12">
        <v>13.76354947266146</v>
      </c>
      <c r="E16" s="40" t="s">
        <v>26</v>
      </c>
      <c r="F16" s="41">
        <v>0.12971867651584371</v>
      </c>
      <c r="G16" s="41">
        <v>0.28423582329611441</v>
      </c>
      <c r="H16" s="41">
        <v>-0.1545171467802707</v>
      </c>
    </row>
    <row r="17" spans="1:8">
      <c r="A17" s="4" t="s">
        <v>27</v>
      </c>
      <c r="B17" s="9">
        <v>13.38908865511238</v>
      </c>
      <c r="C17" s="12">
        <v>0</v>
      </c>
      <c r="E17" s="40" t="s">
        <v>28</v>
      </c>
      <c r="F17" s="41">
        <v>0.30157931631340251</v>
      </c>
      <c r="G17" s="41">
        <v>0.55199783133138491</v>
      </c>
      <c r="H17" s="41">
        <v>-0.2504185150179824</v>
      </c>
    </row>
    <row r="18" spans="1:8">
      <c r="A18" s="4" t="s">
        <v>29</v>
      </c>
      <c r="B18" s="12">
        <v>28.23580733690337</v>
      </c>
      <c r="C18" s="12">
        <v>0</v>
      </c>
      <c r="E18" s="40" t="s">
        <v>30</v>
      </c>
      <c r="F18" s="41">
        <v>0.48322833186085751</v>
      </c>
      <c r="G18" s="41">
        <v>0.79566777171942671</v>
      </c>
      <c r="H18" s="41">
        <v>-0.31243943985856909</v>
      </c>
    </row>
    <row r="19" spans="1:8">
      <c r="A19" s="4" t="s">
        <v>31</v>
      </c>
      <c r="B19" s="12">
        <v>4.2203967963627056</v>
      </c>
      <c r="C19" s="12">
        <v>0</v>
      </c>
      <c r="E19" s="40" t="s">
        <v>32</v>
      </c>
      <c r="F19" s="41">
        <v>0.40037563273946841</v>
      </c>
      <c r="G19" s="41">
        <v>0.89059970641538633</v>
      </c>
      <c r="H19" s="41">
        <v>-0.49022407367591792</v>
      </c>
    </row>
    <row r="20" spans="1:8">
      <c r="A20" s="4" t="s">
        <v>33</v>
      </c>
      <c r="B20" s="12">
        <v>0</v>
      </c>
      <c r="C20" s="12">
        <v>9.7775249720790519E-3</v>
      </c>
      <c r="E20" s="40" t="s">
        <v>34</v>
      </c>
      <c r="F20" s="41">
        <v>1.703953171844786</v>
      </c>
      <c r="G20" s="41">
        <v>0.76652644917812796</v>
      </c>
      <c r="H20" s="41">
        <v>0.93742672266665805</v>
      </c>
    </row>
    <row r="21" spans="1:8">
      <c r="A21" s="4" t="s">
        <v>35</v>
      </c>
      <c r="B21" s="12">
        <v>0.3833403893500934</v>
      </c>
      <c r="C21" s="12">
        <v>0</v>
      </c>
      <c r="E21" s="40" t="s">
        <v>36</v>
      </c>
      <c r="F21" s="41">
        <v>0.54304537867157565</v>
      </c>
      <c r="G21" s="41">
        <v>0.44217004280291411</v>
      </c>
      <c r="H21" s="41">
        <v>0.1008753358686616</v>
      </c>
    </row>
    <row r="22" spans="1:8">
      <c r="A22" s="2" t="s">
        <v>37</v>
      </c>
      <c r="B22" s="13">
        <f>SUM(B13:B21)</f>
        <v>99.999999999999986</v>
      </c>
      <c r="C22" s="13">
        <f>SUM(C13:C21)</f>
        <v>99.999999999999645</v>
      </c>
      <c r="E22" s="40" t="s">
        <v>38</v>
      </c>
      <c r="F22" s="41">
        <v>0.60835379024698244</v>
      </c>
      <c r="G22" s="41">
        <v>0.57934744814972472</v>
      </c>
      <c r="H22" s="41">
        <v>2.900634209725772E-2</v>
      </c>
    </row>
    <row r="23" spans="1:8">
      <c r="A23" s="14"/>
      <c r="B23" s="15"/>
      <c r="C23" s="15"/>
      <c r="E23" s="40" t="s">
        <v>39</v>
      </c>
      <c r="F23" s="41">
        <v>0.62053004245848975</v>
      </c>
      <c r="G23" s="41">
        <v>0.92667732280285586</v>
      </c>
      <c r="H23" s="41">
        <v>-0.30614728034436611</v>
      </c>
    </row>
    <row r="24" spans="1:8">
      <c r="E24" s="40" t="s">
        <v>40</v>
      </c>
      <c r="F24" s="41">
        <v>0.61182679076934077</v>
      </c>
      <c r="G24" s="41">
        <v>0.6610396340434237</v>
      </c>
      <c r="H24" s="41">
        <v>-4.9212843274082818E-2</v>
      </c>
    </row>
    <row r="25" spans="1:8" ht="25.5">
      <c r="A25" s="5" t="s">
        <v>41</v>
      </c>
      <c r="B25" s="3" t="s">
        <v>73</v>
      </c>
      <c r="C25" s="3" t="s">
        <v>2</v>
      </c>
    </row>
    <row r="26" spans="1:8">
      <c r="A26" s="6" t="s">
        <v>42</v>
      </c>
      <c r="B26" s="9">
        <v>3.9154658519760179</v>
      </c>
      <c r="C26" s="9">
        <v>3.199347716368981</v>
      </c>
    </row>
    <row r="27" spans="1:8">
      <c r="A27" s="4" t="s">
        <v>43</v>
      </c>
      <c r="B27" s="9">
        <v>23.459712791137768</v>
      </c>
      <c r="C27" s="12">
        <v>71.000261793227111</v>
      </c>
    </row>
    <row r="28" spans="1:8">
      <c r="A28" s="4" t="s">
        <v>44</v>
      </c>
      <c r="B28" s="9">
        <v>2.2410533192127851</v>
      </c>
      <c r="C28" s="12">
        <v>10.218602983947269</v>
      </c>
    </row>
    <row r="29" spans="1:8">
      <c r="A29" s="4" t="s">
        <v>45</v>
      </c>
      <c r="B29" s="9">
        <v>20.20794444693755</v>
      </c>
      <c r="C29" s="12">
        <v>13.874627472551589</v>
      </c>
    </row>
    <row r="30" spans="1:8">
      <c r="A30" s="4" t="s">
        <v>46</v>
      </c>
      <c r="B30" s="9">
        <v>9.7432307005394048</v>
      </c>
      <c r="C30" s="12">
        <v>6.1691987088617228E-2</v>
      </c>
    </row>
    <row r="31" spans="1:8">
      <c r="A31" s="4" t="s">
        <v>47</v>
      </c>
      <c r="B31" s="12">
        <v>27.63126185881714</v>
      </c>
      <c r="C31" s="12">
        <v>0</v>
      </c>
    </row>
    <row r="32" spans="1:8">
      <c r="A32" s="4" t="s">
        <v>48</v>
      </c>
      <c r="B32" s="12">
        <v>5.3498810749237906</v>
      </c>
      <c r="C32" s="12">
        <v>0</v>
      </c>
    </row>
    <row r="33" spans="1:3">
      <c r="A33" s="4" t="s">
        <v>49</v>
      </c>
      <c r="B33" s="12">
        <v>7.0681095671054166</v>
      </c>
      <c r="C33" s="12">
        <v>1.6454680468160869</v>
      </c>
    </row>
    <row r="34" spans="1:3">
      <c r="A34" s="4" t="s">
        <v>35</v>
      </c>
      <c r="B34" s="12">
        <v>0.3833403893500934</v>
      </c>
      <c r="C34" s="12">
        <v>0</v>
      </c>
    </row>
    <row r="35" spans="1:3">
      <c r="A35" s="2" t="s">
        <v>37</v>
      </c>
      <c r="B35" s="13">
        <f>SUM(B26:B34)</f>
        <v>99.999999999999957</v>
      </c>
      <c r="C35" s="13">
        <f>SUM(C26:C34)</f>
        <v>99.999999999999659</v>
      </c>
    </row>
    <row r="37" spans="1:3" ht="25.5">
      <c r="A37" s="5" t="s">
        <v>50</v>
      </c>
      <c r="B37" s="3" t="s">
        <v>73</v>
      </c>
      <c r="C37" s="3" t="s">
        <v>2</v>
      </c>
    </row>
    <row r="38" spans="1:3">
      <c r="A38" s="6" t="s">
        <v>51</v>
      </c>
      <c r="B38" s="9">
        <v>24.681958714464781</v>
      </c>
      <c r="C38" s="9">
        <v>71.283055386579434</v>
      </c>
    </row>
    <row r="39" spans="1:3">
      <c r="A39" s="4" t="s">
        <v>52</v>
      </c>
      <c r="B39" s="9">
        <v>1.0612442460676139</v>
      </c>
      <c r="C39" s="12">
        <v>4.0727545135917094</v>
      </c>
    </row>
    <row r="40" spans="1:3">
      <c r="A40" s="4" t="s">
        <v>53</v>
      </c>
      <c r="B40" s="9">
        <v>5.6564054756834761</v>
      </c>
      <c r="C40" s="12">
        <v>10.40802726027597</v>
      </c>
    </row>
    <row r="41" spans="1:3">
      <c r="A41" s="4" t="s">
        <v>54</v>
      </c>
      <c r="B41" s="9">
        <v>17.855406604297759</v>
      </c>
      <c r="C41" s="12">
        <v>12.733564136050481</v>
      </c>
    </row>
    <row r="42" spans="1:3">
      <c r="A42" s="4" t="s">
        <v>55</v>
      </c>
      <c r="B42" s="9">
        <v>16.62184044518914</v>
      </c>
      <c r="C42" s="12">
        <v>0.76893806967724643</v>
      </c>
    </row>
    <row r="43" spans="1:3">
      <c r="A43" s="4" t="s">
        <v>56</v>
      </c>
      <c r="B43" s="12">
        <v>26.946123698040982</v>
      </c>
      <c r="C43" s="12">
        <v>2.269896606123238E-3</v>
      </c>
    </row>
    <row r="44" spans="1:3">
      <c r="A44" s="4" t="s">
        <v>57</v>
      </c>
      <c r="B44" s="12">
        <v>0.90684214043840505</v>
      </c>
      <c r="C44" s="12">
        <v>0</v>
      </c>
    </row>
    <row r="45" spans="1:3">
      <c r="A45" s="4" t="s">
        <v>58</v>
      </c>
      <c r="B45" s="12">
        <v>5.8868382864677304</v>
      </c>
      <c r="C45" s="12">
        <v>0.73139073721869141</v>
      </c>
    </row>
    <row r="46" spans="1:3">
      <c r="A46" s="4" t="s">
        <v>35</v>
      </c>
      <c r="B46" s="12">
        <v>0.3833403893500934</v>
      </c>
      <c r="C46" s="12">
        <v>0</v>
      </c>
    </row>
    <row r="47" spans="1:3">
      <c r="A47" s="2" t="s">
        <v>37</v>
      </c>
      <c r="B47" s="13">
        <f>SUM(B38:B46)</f>
        <v>99.999999999999972</v>
      </c>
      <c r="C47" s="13">
        <f>SUM(C38:C46)</f>
        <v>99.999999999999645</v>
      </c>
    </row>
    <row r="49" spans="1:35" ht="26.25">
      <c r="Q49" s="16" t="s">
        <v>59</v>
      </c>
      <c r="R49" s="16" t="s">
        <v>73</v>
      </c>
      <c r="S49" s="16" t="s">
        <v>2</v>
      </c>
      <c r="T49" s="17" t="s">
        <v>60</v>
      </c>
      <c r="U49" s="18"/>
      <c r="V49" s="16" t="s">
        <v>59</v>
      </c>
      <c r="W49" s="16" t="s">
        <v>73</v>
      </c>
      <c r="X49" s="16" t="s">
        <v>2</v>
      </c>
      <c r="Y49" s="17" t="s">
        <v>60</v>
      </c>
      <c r="AA49" s="19" t="s">
        <v>61</v>
      </c>
      <c r="AB49" s="16" t="s">
        <v>73</v>
      </c>
      <c r="AC49" s="16" t="s">
        <v>2</v>
      </c>
      <c r="AD49" s="20" t="s">
        <v>60</v>
      </c>
      <c r="AE49" s="21"/>
      <c r="AF49" s="22" t="s">
        <v>62</v>
      </c>
      <c r="AG49" s="16" t="s">
        <v>73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14.822693949408707</v>
      </c>
      <c r="C52" s="53">
        <v>38.280373394761909</v>
      </c>
      <c r="D52" s="53">
        <v>-23.457679445353204</v>
      </c>
      <c r="E52" s="53">
        <v>1.2695063351831306</v>
      </c>
      <c r="F52" s="53">
        <v>2.3313901530361654</v>
      </c>
      <c r="G52" s="53">
        <v>-1.0618838178530348</v>
      </c>
      <c r="H52" s="53">
        <v>0.30689392749610284</v>
      </c>
      <c r="I52" s="53">
        <v>-0.40509967495620697</v>
      </c>
      <c r="J52" s="54">
        <v>2.9970083880278371</v>
      </c>
      <c r="K52" s="54">
        <v>0.44423738099547372</v>
      </c>
      <c r="L52" s="54">
        <v>0.10507266924900682</v>
      </c>
      <c r="M52" s="53">
        <v>-9.5932341497722451E-2</v>
      </c>
      <c r="N52" s="53">
        <v>-1.4219757378709001E-2</v>
      </c>
      <c r="O52" s="53">
        <v>-9.946763890388699E-2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0.46331613912156522</v>
      </c>
      <c r="C53" s="56">
        <v>2.283724679145243</v>
      </c>
      <c r="D53" s="56">
        <v>-1.8204085400236776</v>
      </c>
      <c r="E53" s="56">
        <v>5.7565300561230257E-2</v>
      </c>
      <c r="F53" s="56">
        <v>8.710866611433081E-2</v>
      </c>
      <c r="G53" s="56">
        <v>-2.9543365553100553E-2</v>
      </c>
      <c r="H53" s="56">
        <v>1.4278021612416165E-2</v>
      </c>
      <c r="I53" s="56">
        <v>-2.5434433117837541E-2</v>
      </c>
      <c r="J53" s="57">
        <v>50.929089417492399</v>
      </c>
      <c r="K53" s="57">
        <v>0.23596269077889545</v>
      </c>
      <c r="L53" s="57">
        <v>-0.15079920732395588</v>
      </c>
      <c r="M53" s="56">
        <v>12.128841466192927</v>
      </c>
      <c r="N53" s="56">
        <v>5.6194880001340507E-2</v>
      </c>
      <c r="O53" s="56">
        <v>-2.9053001523837489E-2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14.359377810287144</v>
      </c>
      <c r="C54" s="56">
        <v>35.996648715616672</v>
      </c>
      <c r="D54" s="56">
        <v>-21.637270905329526</v>
      </c>
      <c r="E54" s="56">
        <v>1.2119410346219004</v>
      </c>
      <c r="F54" s="56">
        <v>2.2442814869218344</v>
      </c>
      <c r="G54" s="56">
        <v>-1.032340452299934</v>
      </c>
      <c r="H54" s="56">
        <v>0.29261590588368669</v>
      </c>
      <c r="I54" s="56">
        <v>-0.37966524183836936</v>
      </c>
      <c r="J54" s="57">
        <v>1.4504436958777491</v>
      </c>
      <c r="K54" s="57">
        <v>0.20827469021657824</v>
      </c>
      <c r="L54" s="57">
        <v>0.25587187657296268</v>
      </c>
      <c r="M54" s="56">
        <v>-0.49037387490148815</v>
      </c>
      <c r="N54" s="56">
        <v>-7.0414637380049508E-2</v>
      </c>
      <c r="O54" s="56">
        <v>-7.0414637380049508E-2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3.279410486706865</v>
      </c>
      <c r="C55" s="59">
        <v>35.996648715616672</v>
      </c>
      <c r="D55" s="59">
        <v>-32.717238228909807</v>
      </c>
      <c r="E55" s="59">
        <v>0.39779701502015441</v>
      </c>
      <c r="F55" s="59">
        <v>2.2442814869218344</v>
      </c>
      <c r="G55" s="59">
        <v>-1.84648447190168</v>
      </c>
      <c r="H55" s="59">
        <v>8.3339788950567401E-2</v>
      </c>
      <c r="I55" s="59">
        <v>-0.58894135877148868</v>
      </c>
      <c r="J55" s="60">
        <v>2.3441196382218012</v>
      </c>
      <c r="K55" s="60">
        <v>7.6873305236800776E-2</v>
      </c>
      <c r="L55" s="60">
        <v>0.1244704915931852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11.079967323580279</v>
      </c>
      <c r="C56" s="61" t="s">
        <v>14</v>
      </c>
      <c r="D56" s="59">
        <v>11.079967323580279</v>
      </c>
      <c r="E56" s="59">
        <v>1.0401702461452733</v>
      </c>
      <c r="F56" s="59" t="s">
        <v>14</v>
      </c>
      <c r="G56" s="59">
        <v>1.0401702461452733</v>
      </c>
      <c r="H56" s="59">
        <v>0.26971053032092751</v>
      </c>
      <c r="I56" s="59">
        <v>0.26971053032092751</v>
      </c>
      <c r="J56" s="60">
        <v>1.2601119783273074</v>
      </c>
      <c r="K56" s="60">
        <v>0.13961999543918666</v>
      </c>
      <c r="L56" s="60">
        <v>0.13961999543918666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-0.15477024055413796</v>
      </c>
      <c r="F57" s="59" t="s">
        <v>14</v>
      </c>
      <c r="G57" s="59">
        <v>-0.15477024055413796</v>
      </c>
      <c r="H57" s="59">
        <v>-5.1087268491709768E-2</v>
      </c>
      <c r="I57" s="59">
        <v>-5.1087268491709768E-2</v>
      </c>
      <c r="J57" s="60">
        <v>0.14456088030765837</v>
      </c>
      <c r="K57" s="60">
        <v>-1.0049844202972792E-2</v>
      </c>
      <c r="L57" s="60">
        <v>-1.0049844202972792E-2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-7.1255985989389425E-2</v>
      </c>
      <c r="F58" s="59" t="s">
        <v>14</v>
      </c>
      <c r="G58" s="59">
        <v>-7.1255985989389425E-2</v>
      </c>
      <c r="H58" s="59">
        <v>-9.3471448960984367E-3</v>
      </c>
      <c r="I58" s="59">
        <v>-9.3471448960984367E-3</v>
      </c>
      <c r="J58" s="60">
        <v>-0.24120295760334901</v>
      </c>
      <c r="K58" s="60">
        <v>1.8312337435636189E-3</v>
      </c>
      <c r="L58" s="60">
        <v>1.8312337435636189E-3</v>
      </c>
      <c r="M58" s="59">
        <v>9.2747410615007748</v>
      </c>
      <c r="N58" s="59">
        <v>-7.0414637380049508E-2</v>
      </c>
      <c r="O58" s="59">
        <v>-7.0414637380049508E-2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63" t="s">
        <v>112</v>
      </c>
      <c r="B59" s="64">
        <v>45.732468797654455</v>
      </c>
      <c r="C59" s="64">
        <v>30.326231137594146</v>
      </c>
      <c r="D59" s="64">
        <v>15.406237660060313</v>
      </c>
      <c r="E59" s="64">
        <v>1.1219420087104925</v>
      </c>
      <c r="F59" s="64">
        <v>1.4472224848749558</v>
      </c>
      <c r="G59" s="64">
        <v>-0.32528047616446321</v>
      </c>
      <c r="H59" s="64">
        <v>1.5122931458536002</v>
      </c>
      <c r="I59" s="64">
        <v>0.6598559761154964</v>
      </c>
      <c r="J59" s="65">
        <v>112.12832541249448</v>
      </c>
      <c r="K59" s="65">
        <v>51.279051432601499</v>
      </c>
      <c r="L59" s="65">
        <v>43.88882398366961</v>
      </c>
      <c r="M59" s="64">
        <v>4.2242032184096843</v>
      </c>
      <c r="N59" s="64">
        <v>1.9318324188087246</v>
      </c>
      <c r="O59" s="64">
        <v>0.30086280380662256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113</v>
      </c>
      <c r="B60" s="56">
        <v>21.421120655183731</v>
      </c>
      <c r="C60" s="56">
        <v>28.100938891367822</v>
      </c>
      <c r="D60" s="56">
        <v>-6.6798182361840901</v>
      </c>
      <c r="E60" s="56">
        <v>1.0336807880104788</v>
      </c>
      <c r="F60" s="56">
        <v>1.339358188252211</v>
      </c>
      <c r="G60" s="56">
        <v>-0.30567740024173218</v>
      </c>
      <c r="H60" s="56">
        <v>0.61853438971670349</v>
      </c>
      <c r="I60" s="56">
        <v>-0.17692466319144562</v>
      </c>
      <c r="J60" s="57">
        <v>13.381399157928831</v>
      </c>
      <c r="K60" s="57">
        <v>2.8664456589716747</v>
      </c>
      <c r="L60" s="57">
        <v>-2.941944210229487</v>
      </c>
      <c r="M60" s="56">
        <v>5.3526277155724893</v>
      </c>
      <c r="N60" s="56">
        <v>1.1465928411755879</v>
      </c>
      <c r="O60" s="56">
        <v>-0.37827748234040004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114</v>
      </c>
      <c r="B61" s="56">
        <v>18.937706050625405</v>
      </c>
      <c r="C61" s="62" t="s">
        <v>14</v>
      </c>
      <c r="D61" s="56">
        <v>18.937706050625405</v>
      </c>
      <c r="E61" s="56">
        <v>1.6096809468340755E-2</v>
      </c>
      <c r="F61" s="56" t="s">
        <v>14</v>
      </c>
      <c r="G61" s="56">
        <v>1.6096809468340755E-2</v>
      </c>
      <c r="H61" s="56">
        <v>0.78510392303839427</v>
      </c>
      <c r="I61" s="56">
        <v>0.78510392303839427</v>
      </c>
      <c r="J61" s="57">
        <v>228.68933622340273</v>
      </c>
      <c r="K61" s="57">
        <v>43.308514263114418</v>
      </c>
      <c r="L61" s="57">
        <v>43.308514263114418</v>
      </c>
      <c r="M61" s="56">
        <v>3.7445124461088373</v>
      </c>
      <c r="N61" s="56">
        <v>0.7091247600731746</v>
      </c>
      <c r="O61" s="56">
        <v>0.7091247600731746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55" t="s">
        <v>115</v>
      </c>
      <c r="B62" s="56">
        <v>1.8390848020700197</v>
      </c>
      <c r="C62" s="56">
        <v>1.7066456783670136</v>
      </c>
      <c r="D62" s="56">
        <v>0.13243912370300598</v>
      </c>
      <c r="E62" s="56">
        <v>5.4995796562385284E-2</v>
      </c>
      <c r="F62" s="56">
        <v>9.527928506568327E-2</v>
      </c>
      <c r="G62" s="56">
        <v>-4.0283488503297986E-2</v>
      </c>
      <c r="H62" s="56">
        <v>6.5579051754091025E-2</v>
      </c>
      <c r="I62" s="56">
        <v>1.8588325435432686E-2</v>
      </c>
      <c r="J62" s="57">
        <v>180.77113929797565</v>
      </c>
      <c r="K62" s="57">
        <v>3.3245345493578946</v>
      </c>
      <c r="L62" s="57">
        <v>2.0471775619896828</v>
      </c>
      <c r="M62" s="56">
        <v>2.9732803263876066</v>
      </c>
      <c r="N62" s="56">
        <v>5.4681146605532339E-2</v>
      </c>
      <c r="O62" s="56">
        <v>-3.9006077984198147E-2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116</v>
      </c>
      <c r="B63" s="56">
        <v>3.5345572897753024</v>
      </c>
      <c r="C63" s="56">
        <v>0.44305072411314345</v>
      </c>
      <c r="D63" s="56">
        <v>3.0915065656621588</v>
      </c>
      <c r="E63" s="56">
        <v>1.7168614669287683E-2</v>
      </c>
      <c r="F63" s="56">
        <v>1.0294854169898185E-2</v>
      </c>
      <c r="G63" s="56">
        <v>6.8737604993894981E-3</v>
      </c>
      <c r="H63" s="56">
        <v>4.3075781344411444E-2</v>
      </c>
      <c r="I63" s="56">
        <v>3.4665918051878769E-2</v>
      </c>
      <c r="J63" s="57">
        <v>50.347379183961074</v>
      </c>
      <c r="K63" s="57">
        <v>1.7795569611575091</v>
      </c>
      <c r="L63" s="57">
        <v>1.5183330620617035</v>
      </c>
      <c r="M63" s="56">
        <v>0.60640326912885323</v>
      </c>
      <c r="N63" s="56">
        <v>2.1433670954429624E-2</v>
      </c>
      <c r="O63" s="56">
        <v>1.1285478471762103E-2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117</v>
      </c>
      <c r="B64" s="66" t="s">
        <v>14</v>
      </c>
      <c r="C64" s="56">
        <v>7.5595843746165944E-2</v>
      </c>
      <c r="D64" s="56">
        <v>-7.5595843746165944E-2</v>
      </c>
      <c r="E64" s="56" t="s">
        <v>14</v>
      </c>
      <c r="F64" s="56">
        <v>2.2901573871632248E-3</v>
      </c>
      <c r="G64" s="56">
        <v>-2.2901573871632248E-3</v>
      </c>
      <c r="H64" s="56" t="s">
        <v>14</v>
      </c>
      <c r="I64" s="56">
        <v>-1.5775272187636791E-3</v>
      </c>
      <c r="J64" s="57" t="s">
        <v>14</v>
      </c>
      <c r="K64" s="57" t="s">
        <v>14</v>
      </c>
      <c r="L64" s="57">
        <v>-4.3256693266710555E-2</v>
      </c>
      <c r="M64" s="56" t="s">
        <v>14</v>
      </c>
      <c r="N64" s="56" t="s">
        <v>14</v>
      </c>
      <c r="O64" s="56">
        <v>-2.2638744137160154E-3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63" t="s">
        <v>119</v>
      </c>
      <c r="B65" s="64">
        <v>22.814676628761489</v>
      </c>
      <c r="C65" s="64">
        <v>31.393395467643593</v>
      </c>
      <c r="D65" s="64">
        <v>-8.5787188388821036</v>
      </c>
      <c r="E65" s="64">
        <v>2.0997617826022337</v>
      </c>
      <c r="F65" s="64">
        <v>2.2648323271171815</v>
      </c>
      <c r="G65" s="64">
        <v>-0.16507054451494785</v>
      </c>
      <c r="H65" s="64">
        <v>0.97691560668549349</v>
      </c>
      <c r="I65" s="64">
        <v>-2.1183651560472083E-2</v>
      </c>
      <c r="J65" s="65">
        <v>189.62968817919429</v>
      </c>
      <c r="K65" s="65">
        <v>43.263400150211929</v>
      </c>
      <c r="L65" s="65">
        <v>8.5605180048502874</v>
      </c>
      <c r="M65" s="64">
        <v>8.8755177968639831</v>
      </c>
      <c r="N65" s="64">
        <v>2.0249206844826939</v>
      </c>
      <c r="O65" s="64">
        <v>-0.17420040275151383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120</v>
      </c>
      <c r="B66" s="56">
        <v>22.230306384524994</v>
      </c>
      <c r="C66" s="56">
        <v>25.829613674930208</v>
      </c>
      <c r="D66" s="56">
        <v>-3.5993072904052124</v>
      </c>
      <c r="E66" s="56">
        <v>2.0555074623611125</v>
      </c>
      <c r="F66" s="56">
        <v>1.928094379315384</v>
      </c>
      <c r="G66" s="56">
        <v>0.12741308304572851</v>
      </c>
      <c r="H66" s="56">
        <v>0.95217484960696386</v>
      </c>
      <c r="I66" s="56">
        <v>0.10890284203344058</v>
      </c>
      <c r="J66" s="57">
        <v>189.56620739206778</v>
      </c>
      <c r="K66" s="57">
        <v>42.141148704780747</v>
      </c>
      <c r="L66" s="57">
        <v>12.266660406415195</v>
      </c>
      <c r="M66" s="56">
        <v>8.9135113113590876</v>
      </c>
      <c r="N66" s="56">
        <v>1.9815008741344173</v>
      </c>
      <c r="O66" s="56">
        <v>0.10983990892601536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8" t="s">
        <v>121</v>
      </c>
      <c r="B67" s="59">
        <v>5.8437931457347974</v>
      </c>
      <c r="C67" s="59">
        <v>8.2084648168931462</v>
      </c>
      <c r="D67" s="59">
        <v>-2.3646716711583484</v>
      </c>
      <c r="E67" s="59">
        <v>0.43809689254895001</v>
      </c>
      <c r="F67" s="59">
        <v>0.48995511988414558</v>
      </c>
      <c r="G67" s="59">
        <v>-5.1858227335195572E-2</v>
      </c>
      <c r="H67" s="59">
        <v>0.22452572115993441</v>
      </c>
      <c r="I67" s="59">
        <v>-2.5663840397468773E-2</v>
      </c>
      <c r="J67" s="60">
        <v>164.93829929315947</v>
      </c>
      <c r="K67" s="60">
        <v>9.6386530287852032</v>
      </c>
      <c r="L67" s="60">
        <v>0.51394067909617647</v>
      </c>
      <c r="M67" s="59">
        <v>7.2842115116349486</v>
      </c>
      <c r="N67" s="59">
        <v>0.42567425303774842</v>
      </c>
      <c r="O67" s="59">
        <v>-5.3477578575072571E-2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8" t="s">
        <v>122</v>
      </c>
      <c r="B68" s="59">
        <v>15.479323979108397</v>
      </c>
      <c r="C68" s="59">
        <v>15.635526510908646</v>
      </c>
      <c r="D68" s="59">
        <v>-0.15620253180024801</v>
      </c>
      <c r="E68" s="59">
        <v>1.5518821970183905</v>
      </c>
      <c r="F68" s="59">
        <v>1.2467024986226571</v>
      </c>
      <c r="G68" s="59">
        <v>0.30517969839573333</v>
      </c>
      <c r="H68" s="59">
        <v>0.68812233704928139</v>
      </c>
      <c r="I68" s="59">
        <v>0.16345209735295463</v>
      </c>
      <c r="J68" s="60">
        <v>197.9693896861007</v>
      </c>
      <c r="K68" s="60">
        <v>30.644323208975134</v>
      </c>
      <c r="L68" s="60">
        <v>12.127960862685061</v>
      </c>
      <c r="M68" s="59">
        <v>9.6361312847886538</v>
      </c>
      <c r="N68" s="59">
        <v>1.4916079806246558</v>
      </c>
      <c r="O68" s="59">
        <v>0.28398177782499978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8" t="s">
        <v>123</v>
      </c>
      <c r="B69" s="59">
        <v>0.90718925968179964</v>
      </c>
      <c r="C69" s="59">
        <v>1.985622347128416</v>
      </c>
      <c r="D69" s="59">
        <v>-1.0784330874466164</v>
      </c>
      <c r="E69" s="59">
        <v>6.5528372793772008E-2</v>
      </c>
      <c r="F69" s="59">
        <v>0.19143676080858119</v>
      </c>
      <c r="G69" s="59">
        <v>-0.12590838801480919</v>
      </c>
      <c r="H69" s="59">
        <v>3.9526791397748048E-2</v>
      </c>
      <c r="I69" s="59">
        <v>-2.8885414922045188E-2</v>
      </c>
      <c r="J69" s="60">
        <v>204.82743233448053</v>
      </c>
      <c r="K69" s="60">
        <v>1.8581724670204129</v>
      </c>
      <c r="L69" s="60">
        <v>-0.37524113536604076</v>
      </c>
      <c r="M69" s="59">
        <v>7.0788581088953864</v>
      </c>
      <c r="N69" s="59">
        <v>6.4218640472013089E-2</v>
      </c>
      <c r="O69" s="59">
        <v>-0.1206642903239119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5" t="s">
        <v>124</v>
      </c>
      <c r="B70" s="56">
        <v>0.58437024423649186</v>
      </c>
      <c r="C70" s="56">
        <v>5.5637817927133879</v>
      </c>
      <c r="D70" s="56">
        <v>-4.9794115484768957</v>
      </c>
      <c r="E70" s="56">
        <v>4.4254320241121262E-2</v>
      </c>
      <c r="F70" s="56">
        <v>0.33673794780179767</v>
      </c>
      <c r="G70" s="56">
        <v>-0.29248362756067642</v>
      </c>
      <c r="H70" s="56">
        <v>2.4740757078529636E-2</v>
      </c>
      <c r="I70" s="56">
        <v>-0.13008649359391264</v>
      </c>
      <c r="J70" s="57">
        <v>192.04459099341389</v>
      </c>
      <c r="K70" s="57">
        <v>1.1222514454311845</v>
      </c>
      <c r="L70" s="57">
        <v>-3.7061424015649056</v>
      </c>
      <c r="M70" s="56">
        <v>7.4301884424328684</v>
      </c>
      <c r="N70" s="56">
        <v>4.3419810348276543E-2</v>
      </c>
      <c r="O70" s="56">
        <v>-0.28404031167752913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3" t="s">
        <v>125</v>
      </c>
      <c r="B71" s="64">
        <v>18.959664936537258</v>
      </c>
      <c r="C71" s="67" t="s">
        <v>14</v>
      </c>
      <c r="D71" s="64">
        <v>18.959664936537258</v>
      </c>
      <c r="E71" s="64">
        <v>0.75407639880167965</v>
      </c>
      <c r="F71" s="64" t="s">
        <v>14</v>
      </c>
      <c r="G71" s="64">
        <v>0.75407639880167965</v>
      </c>
      <c r="H71" s="64">
        <v>1.0179639951885537</v>
      </c>
      <c r="I71" s="64">
        <v>1.0179639951885537</v>
      </c>
      <c r="J71" s="65">
        <v>343.88552317772866</v>
      </c>
      <c r="K71" s="65">
        <v>65.199542959755533</v>
      </c>
      <c r="L71" s="65">
        <v>65.199542959755533</v>
      </c>
      <c r="M71" s="64">
        <v>3.7963813494510958</v>
      </c>
      <c r="N71" s="64">
        <v>0.71978118356911946</v>
      </c>
      <c r="O71" s="64">
        <v>0.71978118356911946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3" t="s">
        <v>126</v>
      </c>
      <c r="B72" s="64">
        <v>7.0283247999916139</v>
      </c>
      <c r="C72" s="67" t="s">
        <v>14</v>
      </c>
      <c r="D72" s="64">
        <v>7.0283247999916139</v>
      </c>
      <c r="E72" s="64">
        <v>1.7226857098868228E-2</v>
      </c>
      <c r="F72" s="64" t="s">
        <v>14</v>
      </c>
      <c r="G72" s="64">
        <v>1.7226857098868228E-2</v>
      </c>
      <c r="H72" s="64">
        <v>0.28195499178318911</v>
      </c>
      <c r="I72" s="64">
        <v>0.28195499178318911</v>
      </c>
      <c r="J72" s="65">
        <v>311.66623229360317</v>
      </c>
      <c r="K72" s="65">
        <v>21.904915097490775</v>
      </c>
      <c r="L72" s="65">
        <v>21.904915097490775</v>
      </c>
      <c r="M72" s="64">
        <v>4.9720904858108153</v>
      </c>
      <c r="N72" s="64">
        <v>0.34945466869226499</v>
      </c>
      <c r="O72" s="64">
        <v>0.34945466869226499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63" t="s">
        <v>127</v>
      </c>
      <c r="B73" s="64">
        <v>3.8133512668003924</v>
      </c>
      <c r="C73" s="67" t="s">
        <v>14</v>
      </c>
      <c r="D73" s="64">
        <v>3.8133512668003924</v>
      </c>
      <c r="E73" s="64">
        <v>0.27219710124293356</v>
      </c>
      <c r="F73" s="64" t="s">
        <v>14</v>
      </c>
      <c r="G73" s="64">
        <v>0.27219710124293356</v>
      </c>
      <c r="H73" s="64">
        <v>0.19829666904107071</v>
      </c>
      <c r="I73" s="64">
        <v>0.19829666904107071</v>
      </c>
      <c r="J73" s="65">
        <v>295.49513118913882</v>
      </c>
      <c r="K73" s="65">
        <v>11.268267328534506</v>
      </c>
      <c r="L73" s="65">
        <v>11.268267328534506</v>
      </c>
      <c r="M73" s="64">
        <v>6.9497324821917177</v>
      </c>
      <c r="N73" s="64">
        <v>0.2650177116488962</v>
      </c>
      <c r="O73" s="64">
        <v>0.2650177116488962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128</v>
      </c>
      <c r="B74" s="64">
        <v>0.38334038935009368</v>
      </c>
      <c r="C74" s="67" t="s">
        <v>14</v>
      </c>
      <c r="D74" s="64">
        <v>0.38334038935009368</v>
      </c>
      <c r="E74" s="64">
        <v>1.1439246855293348E-3</v>
      </c>
      <c r="F74" s="64" t="s">
        <v>14</v>
      </c>
      <c r="G74" s="64">
        <v>1.1439246855293348E-3</v>
      </c>
      <c r="H74" s="64">
        <v>-2.9252556702536155E-3</v>
      </c>
      <c r="I74" s="64">
        <v>-2.9252556702536155E-3</v>
      </c>
      <c r="J74" s="65">
        <v>-3.113134302884276</v>
      </c>
      <c r="K74" s="65">
        <v>-1.1933901157667905E-2</v>
      </c>
      <c r="L74" s="65">
        <v>-1.1933901157667905E-2</v>
      </c>
      <c r="M74" s="64">
        <v>4.0063250920158382E-5</v>
      </c>
      <c r="N74" s="64">
        <v>1.5357862206364005E-7</v>
      </c>
      <c r="O74" s="64">
        <v>1.5357862206364005E-7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129</v>
      </c>
      <c r="B75" s="64">
        <v>-13.554520768504016</v>
      </c>
      <c r="C75" s="67" t="s">
        <v>14</v>
      </c>
      <c r="D75" s="64">
        <v>-13.554520768504016</v>
      </c>
      <c r="E75" s="64">
        <v>-1.3554520768504019E-4</v>
      </c>
      <c r="F75" s="64" t="s">
        <v>14</v>
      </c>
      <c r="G75" s="64">
        <v>-1.3554520768504019E-4</v>
      </c>
      <c r="H75" s="64">
        <v>-0.10693032842579599</v>
      </c>
      <c r="I75" s="64">
        <v>-0.10693032842579599</v>
      </c>
      <c r="J75" s="65">
        <v>9.999999999999998E-4</v>
      </c>
      <c r="K75" s="65">
        <v>-1.3554520768504019E-4</v>
      </c>
      <c r="L75" s="65">
        <v>-1.3554520768504019E-4</v>
      </c>
      <c r="M75" s="64">
        <v>9.999999999999998E-4</v>
      </c>
      <c r="N75" s="64">
        <v>-1.3554520768504019E-4</v>
      </c>
      <c r="O75" s="64">
        <v>-1.3554520768504019E-4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8" t="s">
        <v>37</v>
      </c>
      <c r="B76" s="69">
        <v>99.999999999999986</v>
      </c>
      <c r="C76" s="69">
        <v>99.999999999999645</v>
      </c>
      <c r="D76" s="69">
        <v>3.4416913763379853E-13</v>
      </c>
      <c r="E76" s="69">
        <v>5.5357188631171823</v>
      </c>
      <c r="F76" s="69">
        <v>6.0434449650283026</v>
      </c>
      <c r="G76" s="69">
        <v>-0.50772610191112033</v>
      </c>
      <c r="H76" s="69">
        <v>4.1844627519519602</v>
      </c>
      <c r="I76" s="69">
        <v>1.6219327215155808</v>
      </c>
      <c r="J76" s="70">
        <v>193.34734490322435</v>
      </c>
      <c r="K76" s="70">
        <v>193.34734490322438</v>
      </c>
      <c r="L76" s="70">
        <v>150.91507059718438</v>
      </c>
      <c r="M76" s="69">
        <v>5.2766515181939271</v>
      </c>
      <c r="N76" s="69">
        <v>5.2766515181939271</v>
      </c>
      <c r="O76" s="69">
        <v>1.3613129344324393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74</v>
      </c>
      <c r="C1" s="3" t="s">
        <v>75</v>
      </c>
    </row>
    <row r="2" spans="1:8">
      <c r="A2" s="4" t="s">
        <v>3</v>
      </c>
      <c r="B2" s="9">
        <v>7.2451120723253224</v>
      </c>
      <c r="C2" s="9">
        <v>7.214359241425413</v>
      </c>
    </row>
    <row r="3" spans="1:8">
      <c r="A3" s="4" t="s">
        <v>4</v>
      </c>
      <c r="B3" s="10">
        <v>119.01837655013431</v>
      </c>
      <c r="C3" s="10">
        <v>110.5419838422039</v>
      </c>
    </row>
    <row r="4" spans="1:8">
      <c r="A4" s="4" t="s">
        <v>5</v>
      </c>
      <c r="B4" s="9">
        <v>7.0051165032671721</v>
      </c>
      <c r="C4" s="9">
        <v>7.005043750367145</v>
      </c>
    </row>
    <row r="5" spans="1:8">
      <c r="A5" s="4" t="s">
        <v>6</v>
      </c>
      <c r="B5" s="9">
        <v>10.43767008808371</v>
      </c>
      <c r="C5" s="9">
        <v>10.34801275161362</v>
      </c>
    </row>
    <row r="6" spans="1:8">
      <c r="A6" s="4" t="s">
        <v>7</v>
      </c>
      <c r="B6" s="9">
        <v>3.2529162782082861</v>
      </c>
      <c r="C6" s="9">
        <v>3.1910381360682529</v>
      </c>
    </row>
    <row r="7" spans="1:8">
      <c r="A7" s="4" t="s">
        <v>8</v>
      </c>
      <c r="B7" s="9">
        <v>3.2470047634014301</v>
      </c>
      <c r="C7" s="9">
        <v>3.17932878358023</v>
      </c>
    </row>
    <row r="8" spans="1:8">
      <c r="A8" s="4" t="s">
        <v>9</v>
      </c>
      <c r="B8" s="9">
        <v>3.5422104282159341</v>
      </c>
      <c r="C8" s="9">
        <v>3.9541491388972911</v>
      </c>
    </row>
    <row r="9" spans="1:8">
      <c r="A9" s="4" t="s">
        <v>10</v>
      </c>
      <c r="B9" s="9" t="s">
        <v>11</v>
      </c>
      <c r="C9" s="9" t="s">
        <v>72</v>
      </c>
    </row>
    <row r="10" spans="1:8">
      <c r="A10" s="4" t="s">
        <v>13</v>
      </c>
      <c r="B10" s="39">
        <v>100243425.2861433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74</v>
      </c>
      <c r="C12" s="3" t="s">
        <v>75</v>
      </c>
    </row>
    <row r="13" spans="1:8">
      <c r="A13" s="6" t="s">
        <v>16</v>
      </c>
      <c r="B13" s="9">
        <v>2.0730379812345419</v>
      </c>
      <c r="C13" s="9">
        <v>9.7448335776894677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9.7904616924781074</v>
      </c>
      <c r="C14" s="12">
        <v>12.66886406054696</v>
      </c>
      <c r="E14" s="40" t="s">
        <v>22</v>
      </c>
      <c r="F14" s="41">
        <v>1.393817756930016E-2</v>
      </c>
      <c r="G14" s="41">
        <v>1.2851613888106409E-2</v>
      </c>
      <c r="H14" s="41">
        <v>1.0865636811937559E-3</v>
      </c>
    </row>
    <row r="15" spans="1:8">
      <c r="A15" s="4" t="s">
        <v>23</v>
      </c>
      <c r="B15" s="9">
        <v>24.848831670004021</v>
      </c>
      <c r="C15" s="12">
        <v>33.75640817925126</v>
      </c>
      <c r="E15" s="40" t="s">
        <v>24</v>
      </c>
      <c r="F15" s="41">
        <v>0.10032938838008081</v>
      </c>
      <c r="G15" s="41">
        <v>8.7377528957631817E-2</v>
      </c>
      <c r="H15" s="41">
        <v>1.295185942244895E-2</v>
      </c>
    </row>
    <row r="16" spans="1:8">
      <c r="A16" s="4" t="s">
        <v>25</v>
      </c>
      <c r="B16" s="9">
        <v>61.427447345332411</v>
      </c>
      <c r="C16" s="12">
        <v>43.79874901701983</v>
      </c>
      <c r="E16" s="40" t="s">
        <v>26</v>
      </c>
      <c r="F16" s="41">
        <v>0.17449419453115231</v>
      </c>
      <c r="G16" s="41">
        <v>0.23231903565376039</v>
      </c>
      <c r="H16" s="41">
        <v>-5.7824841122608127E-2</v>
      </c>
    </row>
    <row r="17" spans="1:8">
      <c r="A17" s="4" t="s">
        <v>33</v>
      </c>
      <c r="B17" s="9">
        <v>0</v>
      </c>
      <c r="C17" s="12">
        <v>3.1145165492393181E-2</v>
      </c>
      <c r="E17" s="40" t="s">
        <v>28</v>
      </c>
      <c r="F17" s="41">
        <v>0.47364036706763801</v>
      </c>
      <c r="G17" s="41">
        <v>0.51204911231283767</v>
      </c>
      <c r="H17" s="41">
        <v>-3.8408745245199771E-2</v>
      </c>
    </row>
    <row r="18" spans="1:8">
      <c r="A18" s="4" t="s">
        <v>35</v>
      </c>
      <c r="B18" s="12">
        <v>1.860221310950918</v>
      </c>
      <c r="C18" s="12">
        <v>0</v>
      </c>
      <c r="E18" s="40" t="s">
        <v>30</v>
      </c>
      <c r="F18" s="41">
        <v>0.85704522903167468</v>
      </c>
      <c r="G18" s="41">
        <v>0.80093722938182943</v>
      </c>
      <c r="H18" s="41">
        <v>5.6107999649845142E-2</v>
      </c>
    </row>
    <row r="19" spans="1:8">
      <c r="A19" s="4"/>
      <c r="B19" s="12"/>
      <c r="C19" s="12"/>
      <c r="E19" s="40" t="s">
        <v>32</v>
      </c>
      <c r="F19" s="41">
        <v>0.90246935548033413</v>
      </c>
      <c r="G19" s="41">
        <v>0.9733414982418308</v>
      </c>
      <c r="H19" s="41">
        <v>-7.087214276149667E-2</v>
      </c>
    </row>
    <row r="20" spans="1:8">
      <c r="A20" s="4"/>
      <c r="B20" s="12"/>
      <c r="C20" s="12"/>
      <c r="E20" s="40" t="s">
        <v>34</v>
      </c>
      <c r="F20" s="41">
        <v>1.068398843396843</v>
      </c>
      <c r="G20" s="41">
        <v>0.96389412950185882</v>
      </c>
      <c r="H20" s="41">
        <v>0.1045047138949842</v>
      </c>
    </row>
    <row r="21" spans="1:8">
      <c r="A21" s="4"/>
      <c r="B21" s="12"/>
      <c r="C21" s="12"/>
      <c r="E21" s="40" t="s">
        <v>36</v>
      </c>
      <c r="F21" s="41">
        <v>0.38325120624744391</v>
      </c>
      <c r="G21" s="41">
        <v>0.56873747518181061</v>
      </c>
      <c r="H21" s="41">
        <v>-0.18548626893436679</v>
      </c>
    </row>
    <row r="22" spans="1:8">
      <c r="A22" s="2" t="s">
        <v>37</v>
      </c>
      <c r="B22" s="13">
        <f>SUM(B13:B21)</f>
        <v>100</v>
      </c>
      <c r="C22" s="13">
        <f>SUM(C13:C21)</f>
        <v>99.999999999999901</v>
      </c>
      <c r="E22" s="40" t="s">
        <v>38</v>
      </c>
      <c r="F22" s="41">
        <v>0.61617866028426171</v>
      </c>
      <c r="G22" s="41">
        <v>0.91214502809977016</v>
      </c>
      <c r="H22" s="41">
        <v>-0.29596636781550839</v>
      </c>
    </row>
    <row r="23" spans="1:8">
      <c r="A23" s="14"/>
      <c r="B23" s="15"/>
      <c r="C23" s="15"/>
      <c r="E23" s="40" t="s">
        <v>39</v>
      </c>
      <c r="F23" s="41">
        <v>0.93874114306021395</v>
      </c>
      <c r="G23" s="41">
        <v>1.167278273199706</v>
      </c>
      <c r="H23" s="41">
        <v>-0.22853713013949151</v>
      </c>
    </row>
    <row r="24" spans="1:8">
      <c r="E24" s="40" t="s">
        <v>40</v>
      </c>
      <c r="F24" s="41">
        <v>1.7166068748283729</v>
      </c>
      <c r="G24" s="41">
        <v>0.97731636796891885</v>
      </c>
      <c r="H24" s="41">
        <v>0.73929050685945386</v>
      </c>
    </row>
    <row r="25" spans="1:8" ht="25.5">
      <c r="A25" s="5" t="s">
        <v>41</v>
      </c>
      <c r="B25" s="3" t="s">
        <v>74</v>
      </c>
      <c r="C25" s="3" t="s">
        <v>75</v>
      </c>
    </row>
    <row r="26" spans="1:8">
      <c r="A26" s="6" t="s">
        <v>42</v>
      </c>
      <c r="B26" s="9">
        <v>2.070014491173874</v>
      </c>
      <c r="C26" s="9">
        <v>8.8493310187919469</v>
      </c>
    </row>
    <row r="27" spans="1:8">
      <c r="A27" s="4" t="s">
        <v>43</v>
      </c>
      <c r="B27" s="9">
        <v>8.3022648858352763</v>
      </c>
      <c r="C27" s="12">
        <v>12.723702111766</v>
      </c>
    </row>
    <row r="28" spans="1:8">
      <c r="A28" s="4" t="s">
        <v>44</v>
      </c>
      <c r="B28" s="9">
        <v>24.27614148413878</v>
      </c>
      <c r="C28" s="12">
        <v>32.505779394731292</v>
      </c>
    </row>
    <row r="29" spans="1:8">
      <c r="A29" s="4" t="s">
        <v>45</v>
      </c>
      <c r="B29" s="9">
        <v>62.739821023318157</v>
      </c>
      <c r="C29" s="12">
        <v>44.18106269546945</v>
      </c>
    </row>
    <row r="30" spans="1:8">
      <c r="A30" s="4" t="s">
        <v>46</v>
      </c>
      <c r="B30" s="9">
        <v>0</v>
      </c>
      <c r="C30" s="12">
        <v>0.1965126300281905</v>
      </c>
    </row>
    <row r="31" spans="1:8">
      <c r="A31" s="4" t="s">
        <v>49</v>
      </c>
      <c r="B31" s="12">
        <v>0.75153680458297134</v>
      </c>
      <c r="C31" s="12">
        <v>1.543612149213101</v>
      </c>
    </row>
    <row r="32" spans="1:8">
      <c r="A32" s="4" t="s">
        <v>35</v>
      </c>
      <c r="B32" s="12">
        <v>1.860221310950918</v>
      </c>
      <c r="C32" s="12">
        <v>0</v>
      </c>
    </row>
    <row r="33" spans="1:3">
      <c r="A33" s="4"/>
      <c r="B33" s="12"/>
      <c r="C33" s="12"/>
    </row>
    <row r="34" spans="1:3">
      <c r="A34" s="4"/>
      <c r="B34" s="12"/>
      <c r="C34" s="12"/>
    </row>
    <row r="35" spans="1:3">
      <c r="A35" s="2" t="s">
        <v>37</v>
      </c>
      <c r="B35" s="13">
        <f>SUM(B26:B34)</f>
        <v>99.999999999999972</v>
      </c>
      <c r="C35" s="13">
        <f>SUM(C26:C34)</f>
        <v>99.999999999999986</v>
      </c>
    </row>
    <row r="37" spans="1:3" ht="25.5">
      <c r="A37" s="5" t="s">
        <v>50</v>
      </c>
      <c r="B37" s="3" t="s">
        <v>74</v>
      </c>
      <c r="C37" s="3" t="s">
        <v>75</v>
      </c>
    </row>
    <row r="38" spans="1:3">
      <c r="A38" s="6" t="s">
        <v>51</v>
      </c>
      <c r="B38" s="9">
        <v>2.443328074847936</v>
      </c>
      <c r="C38" s="9">
        <v>9.8247787785920284</v>
      </c>
    </row>
    <row r="39" spans="1:3">
      <c r="A39" s="4" t="s">
        <v>52</v>
      </c>
      <c r="B39" s="9">
        <v>7.006054855188065</v>
      </c>
      <c r="C39" s="12">
        <v>12.68963485672294</v>
      </c>
    </row>
    <row r="40" spans="1:3">
      <c r="A40" s="4" t="s">
        <v>53</v>
      </c>
      <c r="B40" s="9">
        <v>29.48432317686262</v>
      </c>
      <c r="C40" s="12">
        <v>33.071804995650858</v>
      </c>
    </row>
    <row r="41" spans="1:3">
      <c r="A41" s="4" t="s">
        <v>54</v>
      </c>
      <c r="B41" s="9">
        <v>54.125389844137928</v>
      </c>
      <c r="C41" s="12">
        <v>40.549489263178238</v>
      </c>
    </row>
    <row r="42" spans="1:3">
      <c r="A42" s="4" t="s">
        <v>55</v>
      </c>
      <c r="B42" s="9">
        <v>2.440036608863982</v>
      </c>
      <c r="C42" s="12">
        <v>2.4493625433724491</v>
      </c>
    </row>
    <row r="43" spans="1:3">
      <c r="A43" s="4" t="s">
        <v>56</v>
      </c>
      <c r="B43" s="12">
        <v>0</v>
      </c>
      <c r="C43" s="12">
        <v>7.2304909115764957E-3</v>
      </c>
    </row>
    <row r="44" spans="1:3">
      <c r="A44" s="4" t="s">
        <v>58</v>
      </c>
      <c r="B44" s="12">
        <v>2.6406461291485308</v>
      </c>
      <c r="C44" s="12">
        <v>1.4076990715718241</v>
      </c>
    </row>
    <row r="45" spans="1:3">
      <c r="A45" s="4" t="s">
        <v>35</v>
      </c>
      <c r="B45" s="12">
        <v>1.860221310950918</v>
      </c>
      <c r="C45" s="12">
        <v>0</v>
      </c>
    </row>
    <row r="46" spans="1:3">
      <c r="A46" s="4"/>
      <c r="B46" s="12"/>
      <c r="C46" s="12"/>
    </row>
    <row r="47" spans="1:3">
      <c r="A47" s="2" t="s">
        <v>37</v>
      </c>
      <c r="B47" s="13">
        <f>SUM(B38:B46)</f>
        <v>99.999999999999986</v>
      </c>
      <c r="C47" s="13">
        <f>SUM(C38:C46)</f>
        <v>99.999999999999915</v>
      </c>
    </row>
    <row r="49" spans="1:35" ht="26.25">
      <c r="Q49" s="16" t="s">
        <v>59</v>
      </c>
      <c r="R49" s="16" t="s">
        <v>74</v>
      </c>
      <c r="S49" s="16" t="s">
        <v>75</v>
      </c>
      <c r="T49" s="17" t="s">
        <v>60</v>
      </c>
      <c r="U49" s="18"/>
      <c r="V49" s="16" t="s">
        <v>59</v>
      </c>
      <c r="W49" s="16" t="s">
        <v>74</v>
      </c>
      <c r="X49" s="16" t="s">
        <v>75</v>
      </c>
      <c r="Y49" s="17" t="s">
        <v>60</v>
      </c>
      <c r="AA49" s="19" t="s">
        <v>61</v>
      </c>
      <c r="AB49" s="16" t="s">
        <v>74</v>
      </c>
      <c r="AC49" s="16" t="s">
        <v>75</v>
      </c>
      <c r="AD49" s="20" t="s">
        <v>60</v>
      </c>
      <c r="AE49" s="21"/>
      <c r="AF49" s="22" t="s">
        <v>62</v>
      </c>
      <c r="AG49" s="16" t="s">
        <v>74</v>
      </c>
      <c r="AH49" s="16" t="s">
        <v>75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119</v>
      </c>
      <c r="B52" s="53">
        <v>98.136755198988396</v>
      </c>
      <c r="C52" s="53">
        <v>100.00000000000004</v>
      </c>
      <c r="D52" s="53">
        <v>-1.8632448010116431</v>
      </c>
      <c r="E52" s="53">
        <v>7.2450934398773148</v>
      </c>
      <c r="F52" s="53">
        <v>7.2143592414254405</v>
      </c>
      <c r="G52" s="53">
        <v>3.0734198451874306E-2</v>
      </c>
      <c r="H52" s="53">
        <v>3.232305811490729</v>
      </c>
      <c r="I52" s="53">
        <v>5.2977027910495078E-2</v>
      </c>
      <c r="J52" s="54">
        <v>121.27806516157683</v>
      </c>
      <c r="K52" s="54">
        <v>119.01835791768629</v>
      </c>
      <c r="L52" s="54">
        <v>8.4763740754828234</v>
      </c>
      <c r="M52" s="53">
        <v>7.1380981127969605</v>
      </c>
      <c r="N52" s="53">
        <v>7.0050978708191645</v>
      </c>
      <c r="O52" s="53">
        <v>5.4120452031902744E-5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120</v>
      </c>
      <c r="B53" s="56">
        <v>95.709736583775012</v>
      </c>
      <c r="C53" s="56">
        <v>82.277221976680309</v>
      </c>
      <c r="D53" s="56">
        <v>13.432514607094703</v>
      </c>
      <c r="E53" s="56">
        <v>7.0950557456079952</v>
      </c>
      <c r="F53" s="56">
        <v>6.1417197808456985</v>
      </c>
      <c r="G53" s="56">
        <v>0.95333596476229676</v>
      </c>
      <c r="H53" s="56">
        <v>3.1580080398685122</v>
      </c>
      <c r="I53" s="56">
        <v>0.4718634065405789</v>
      </c>
      <c r="J53" s="57">
        <v>121.49151950164222</v>
      </c>
      <c r="K53" s="57">
        <v>116.2792132866474</v>
      </c>
      <c r="L53" s="57">
        <v>21.117514931474474</v>
      </c>
      <c r="M53" s="56">
        <v>7.1668956842749107</v>
      </c>
      <c r="N53" s="56">
        <v>6.8594169806534566</v>
      </c>
      <c r="O53" s="56">
        <v>0.89745925888527189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8" t="s">
        <v>121</v>
      </c>
      <c r="B54" s="59">
        <v>35.944604340450056</v>
      </c>
      <c r="C54" s="59">
        <v>26.147107360060556</v>
      </c>
      <c r="D54" s="59">
        <v>9.7974969803895036</v>
      </c>
      <c r="E54" s="59">
        <v>2.1641992937195589</v>
      </c>
      <c r="F54" s="59">
        <v>1.5606948932590958</v>
      </c>
      <c r="G54" s="59">
        <v>0.60350440046046305</v>
      </c>
      <c r="H54" s="59">
        <v>1.0958573961714655</v>
      </c>
      <c r="I54" s="59">
        <v>0.29890772624720607</v>
      </c>
      <c r="J54" s="60">
        <v>113.48234841415214</v>
      </c>
      <c r="K54" s="60">
        <v>40.790781133717971</v>
      </c>
      <c r="L54" s="60">
        <v>11.72507411552165</v>
      </c>
      <c r="M54" s="59">
        <v>5.8506841421596381</v>
      </c>
      <c r="N54" s="59">
        <v>2.1030052661087355</v>
      </c>
      <c r="O54" s="59">
        <v>0.57672298770189379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122</v>
      </c>
      <c r="B55" s="59">
        <v>54.400134290410094</v>
      </c>
      <c r="C55" s="59">
        <v>49.805146203518518</v>
      </c>
      <c r="D55" s="59">
        <v>4.5949880868915773</v>
      </c>
      <c r="E55" s="59">
        <v>4.3231123452151179</v>
      </c>
      <c r="F55" s="59">
        <v>3.9712254123884194</v>
      </c>
      <c r="G55" s="59">
        <v>0.35188693282669847</v>
      </c>
      <c r="H55" s="59">
        <v>1.8575888103217069</v>
      </c>
      <c r="I55" s="59">
        <v>0.18631295155997685</v>
      </c>
      <c r="J55" s="60">
        <v>126.40672199458099</v>
      </c>
      <c r="K55" s="60">
        <v>68.765426517157422</v>
      </c>
      <c r="L55" s="60">
        <v>9.7837137381927235</v>
      </c>
      <c r="M55" s="59">
        <v>7.6742067062138029</v>
      </c>
      <c r="N55" s="59">
        <v>4.1747787539039667</v>
      </c>
      <c r="O55" s="59">
        <v>0.3280263245774675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123</v>
      </c>
      <c r="B56" s="59">
        <v>5.3649979529148659</v>
      </c>
      <c r="C56" s="59">
        <v>6.324968413101244</v>
      </c>
      <c r="D56" s="59">
        <v>-0.95997046018637744</v>
      </c>
      <c r="E56" s="59">
        <v>0.60774410667331813</v>
      </c>
      <c r="F56" s="59">
        <v>0.60979947519818289</v>
      </c>
      <c r="G56" s="59">
        <v>-2.0553685248647646E-3</v>
      </c>
      <c r="H56" s="59">
        <v>0.20456183337534001</v>
      </c>
      <c r="I56" s="59">
        <v>-1.3357271266603549E-2</v>
      </c>
      <c r="J56" s="60">
        <v>125.3123616220454</v>
      </c>
      <c r="K56" s="60">
        <v>6.723005635772008</v>
      </c>
      <c r="L56" s="60">
        <v>-0.39127292223991184</v>
      </c>
      <c r="M56" s="59">
        <v>10.841252238032011</v>
      </c>
      <c r="N56" s="59">
        <v>0.58163296064075443</v>
      </c>
      <c r="O56" s="59">
        <v>-7.2900533940895018E-3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5" t="s">
        <v>124</v>
      </c>
      <c r="B57" s="56">
        <v>2.4270186152133868</v>
      </c>
      <c r="C57" s="56">
        <v>17.722778023319734</v>
      </c>
      <c r="D57" s="56">
        <v>-15.295759408106345</v>
      </c>
      <c r="E57" s="56">
        <v>0.15003769426931976</v>
      </c>
      <c r="F57" s="56">
        <v>1.0726394605797422</v>
      </c>
      <c r="G57" s="56">
        <v>-0.92260176631042246</v>
      </c>
      <c r="H57" s="56">
        <v>7.4297771622216832E-2</v>
      </c>
      <c r="I57" s="56">
        <v>-0.41888637863008382</v>
      </c>
      <c r="J57" s="57">
        <v>112.86047061481055</v>
      </c>
      <c r="K57" s="57">
        <v>2.7391446310388856</v>
      </c>
      <c r="L57" s="57">
        <v>-12.641140855991651</v>
      </c>
      <c r="M57" s="56">
        <v>6.002462826305905</v>
      </c>
      <c r="N57" s="56">
        <v>0.1456808901657079</v>
      </c>
      <c r="O57" s="56">
        <v>-0.89740513843323955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63" t="s">
        <v>128</v>
      </c>
      <c r="B58" s="64">
        <v>1.8602213109509185</v>
      </c>
      <c r="C58" s="67" t="s">
        <v>14</v>
      </c>
      <c r="D58" s="64">
        <v>1.8602213109509185</v>
      </c>
      <c r="E58" s="64">
        <v>1.8602213109509185E-5</v>
      </c>
      <c r="F58" s="64" t="s">
        <v>14</v>
      </c>
      <c r="G58" s="64">
        <v>1.8602213109509185E-5</v>
      </c>
      <c r="H58" s="64">
        <v>1.46750998999607E-2</v>
      </c>
      <c r="I58" s="64">
        <v>1.46750998999607E-2</v>
      </c>
      <c r="J58" s="65">
        <v>1E-3</v>
      </c>
      <c r="K58" s="65">
        <v>1.8602213109509185E-5</v>
      </c>
      <c r="L58" s="65">
        <v>1.8602213109509185E-5</v>
      </c>
      <c r="M58" s="64">
        <v>1E-3</v>
      </c>
      <c r="N58" s="64">
        <v>1.8602213109509185E-5</v>
      </c>
      <c r="O58" s="64">
        <v>1.8602213109509185E-5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63" t="s">
        <v>129</v>
      </c>
      <c r="B59" s="64">
        <v>3.0234900606683018E-3</v>
      </c>
      <c r="C59" s="67" t="s">
        <v>14</v>
      </c>
      <c r="D59" s="64">
        <v>3.0234900606683018E-3</v>
      </c>
      <c r="E59" s="64">
        <v>3.0234900606683014E-8</v>
      </c>
      <c r="F59" s="64" t="s">
        <v>14</v>
      </c>
      <c r="G59" s="64">
        <v>3.0234900606683014E-8</v>
      </c>
      <c r="H59" s="64">
        <v>2.3852010739606163E-5</v>
      </c>
      <c r="I59" s="64">
        <v>2.3852010739606163E-5</v>
      </c>
      <c r="J59" s="65">
        <v>1E-3</v>
      </c>
      <c r="K59" s="65">
        <v>3.0234900606683014E-8</v>
      </c>
      <c r="L59" s="65">
        <v>3.0234900606683014E-8</v>
      </c>
      <c r="M59" s="64">
        <v>1E-3</v>
      </c>
      <c r="N59" s="64">
        <v>3.0234900606683014E-8</v>
      </c>
      <c r="O59" s="64">
        <v>3.0234900606683014E-8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68" t="s">
        <v>37</v>
      </c>
      <c r="B60" s="69">
        <v>99.999999999999986</v>
      </c>
      <c r="C60" s="69">
        <v>100.00000000000004</v>
      </c>
      <c r="D60" s="69">
        <v>-5.5511151231257827E-14</v>
      </c>
      <c r="E60" s="69">
        <v>7.2451120723253251</v>
      </c>
      <c r="F60" s="69">
        <v>7.2143592414254405</v>
      </c>
      <c r="G60" s="69">
        <v>3.0752830899884565E-2</v>
      </c>
      <c r="H60" s="69">
        <v>3.2470047634014292</v>
      </c>
      <c r="I60" s="69">
        <v>6.767597982119522E-2</v>
      </c>
      <c r="J60" s="70">
        <v>119.01837655013431</v>
      </c>
      <c r="K60" s="70">
        <v>119.01837655013429</v>
      </c>
      <c r="L60" s="70">
        <v>8.4763927079308274</v>
      </c>
      <c r="M60" s="69">
        <v>7.0051165032671756</v>
      </c>
      <c r="N60" s="69">
        <v>7.0051165032671747</v>
      </c>
      <c r="O60" s="69">
        <v>7.2752900042161173E-5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7:35" ht="13.5" customHeight="1"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7:35" ht="13.5" customHeight="1" thickBot="1"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7:35" ht="13.5" customHeight="1" thickTop="1"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7:35" ht="13.5" customHeight="1"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7:35" ht="13.5" customHeight="1"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7:35" ht="13.5" customHeight="1"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7:35" ht="13.5" customHeight="1"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7:35" ht="13.5" customHeight="1"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7:35" ht="13.5" customHeight="1"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7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7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7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7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7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7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7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76</v>
      </c>
      <c r="C1" s="3" t="s">
        <v>2</v>
      </c>
    </row>
    <row r="2" spans="1:8">
      <c r="A2" s="4" t="s">
        <v>3</v>
      </c>
      <c r="B2" s="9">
        <v>5.1016346928788563</v>
      </c>
      <c r="C2" s="9">
        <v>6.0434449650283426</v>
      </c>
    </row>
    <row r="3" spans="1:8">
      <c r="A3" s="4" t="s">
        <v>4</v>
      </c>
      <c r="B3" s="10">
        <v>181.03580975921221</v>
      </c>
      <c r="C3" s="10">
        <v>42.432274306040377</v>
      </c>
    </row>
    <row r="4" spans="1:8">
      <c r="A4" s="4" t="s">
        <v>5</v>
      </c>
      <c r="B4" s="9">
        <v>4.8584919470159216</v>
      </c>
      <c r="C4" s="9">
        <v>3.9153385837615131</v>
      </c>
    </row>
    <row r="5" spans="1:8">
      <c r="A5" s="4" t="s">
        <v>6</v>
      </c>
      <c r="B5" s="9">
        <v>9.5114817991653755</v>
      </c>
      <c r="C5" s="9">
        <v>8.0974581706531161</v>
      </c>
    </row>
    <row r="6" spans="1:8">
      <c r="A6" s="4" t="s">
        <v>7</v>
      </c>
      <c r="B6" s="9">
        <v>4.2638274687536333</v>
      </c>
      <c r="C6" s="9">
        <v>2.5663455010456508</v>
      </c>
    </row>
    <row r="7" spans="1:8">
      <c r="A7" s="4" t="s">
        <v>8</v>
      </c>
      <c r="B7" s="9">
        <v>4.1827374045920669</v>
      </c>
      <c r="C7" s="9">
        <v>2.562530030436398</v>
      </c>
    </row>
    <row r="8" spans="1:8">
      <c r="A8" s="4" t="s">
        <v>9</v>
      </c>
      <c r="B8" s="9">
        <v>3.6183708637292868</v>
      </c>
      <c r="C8" s="9">
        <v>3.075274086793343</v>
      </c>
    </row>
    <row r="9" spans="1:8">
      <c r="A9" s="4" t="s">
        <v>10</v>
      </c>
      <c r="B9" s="9" t="s">
        <v>11</v>
      </c>
      <c r="C9" s="9" t="s">
        <v>12</v>
      </c>
    </row>
    <row r="10" spans="1:8">
      <c r="A10" s="4" t="s">
        <v>13</v>
      </c>
      <c r="B10" s="39">
        <v>803443746.18113959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76</v>
      </c>
      <c r="C12" s="3" t="s">
        <v>2</v>
      </c>
    </row>
    <row r="13" spans="1:8">
      <c r="A13" s="6" t="s">
        <v>16</v>
      </c>
      <c r="B13" s="9">
        <v>29.101610116987491</v>
      </c>
      <c r="C13" s="9">
        <v>71.440060046559751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1.305524420392336</v>
      </c>
      <c r="C14" s="12">
        <v>4.1253122696163267</v>
      </c>
      <c r="E14" s="40" t="s">
        <v>22</v>
      </c>
      <c r="F14" s="41">
        <v>5.1945140378260958E-2</v>
      </c>
      <c r="G14" s="41">
        <v>2.3062687079547759E-2</v>
      </c>
      <c r="H14" s="41">
        <v>2.8882453298713199E-2</v>
      </c>
    </row>
    <row r="15" spans="1:8">
      <c r="A15" s="4" t="s">
        <v>23</v>
      </c>
      <c r="B15" s="9">
        <v>4.8818474187001559</v>
      </c>
      <c r="C15" s="12">
        <v>10.66130068619063</v>
      </c>
      <c r="E15" s="40" t="s">
        <v>24</v>
      </c>
      <c r="F15" s="41">
        <v>0.1027898634411914</v>
      </c>
      <c r="G15" s="41">
        <v>0.1202014998773107</v>
      </c>
      <c r="H15" s="41">
        <v>-1.7411636436119291E-2</v>
      </c>
    </row>
    <row r="16" spans="1:8">
      <c r="A16" s="4" t="s">
        <v>25</v>
      </c>
      <c r="B16" s="9">
        <v>21.90906392835856</v>
      </c>
      <c r="C16" s="12">
        <v>13.76354947266157</v>
      </c>
      <c r="E16" s="40" t="s">
        <v>26</v>
      </c>
      <c r="F16" s="41">
        <v>0.17385537764989009</v>
      </c>
      <c r="G16" s="41">
        <v>0.28423582329611602</v>
      </c>
      <c r="H16" s="41">
        <v>-0.1103804456462259</v>
      </c>
    </row>
    <row r="17" spans="1:8">
      <c r="A17" s="4" t="s">
        <v>27</v>
      </c>
      <c r="B17" s="9">
        <v>19.88038381127032</v>
      </c>
      <c r="C17" s="12">
        <v>0</v>
      </c>
      <c r="E17" s="40" t="s">
        <v>28</v>
      </c>
      <c r="F17" s="41">
        <v>0.31558488087021108</v>
      </c>
      <c r="G17" s="41">
        <v>0.55199783133138813</v>
      </c>
      <c r="H17" s="41">
        <v>-0.23641295046117691</v>
      </c>
    </row>
    <row r="18" spans="1:8">
      <c r="A18" s="4" t="s">
        <v>29</v>
      </c>
      <c r="B18" s="12">
        <v>13.2263137630441</v>
      </c>
      <c r="C18" s="12">
        <v>0</v>
      </c>
      <c r="E18" s="40" t="s">
        <v>30</v>
      </c>
      <c r="F18" s="41">
        <v>0.48850180460421128</v>
      </c>
      <c r="G18" s="41">
        <v>0.79566777171943159</v>
      </c>
      <c r="H18" s="41">
        <v>-0.30716596711522037</v>
      </c>
    </row>
    <row r="19" spans="1:8">
      <c r="A19" s="4" t="s">
        <v>31</v>
      </c>
      <c r="B19" s="12">
        <v>6.43645785586176</v>
      </c>
      <c r="C19" s="12">
        <v>0</v>
      </c>
      <c r="E19" s="40" t="s">
        <v>32</v>
      </c>
      <c r="F19" s="41">
        <v>0.43694587005278718</v>
      </c>
      <c r="G19" s="41">
        <v>0.89059970641539166</v>
      </c>
      <c r="H19" s="41">
        <v>-0.45365383636260459</v>
      </c>
    </row>
    <row r="20" spans="1:8">
      <c r="A20" s="4" t="s">
        <v>33</v>
      </c>
      <c r="B20" s="12">
        <v>2.577350333246089</v>
      </c>
      <c r="C20" s="12">
        <v>9.777524972079123E-3</v>
      </c>
      <c r="E20" s="40" t="s">
        <v>34</v>
      </c>
      <c r="F20" s="41">
        <v>1.362376201285558</v>
      </c>
      <c r="G20" s="41">
        <v>0.76652644917813251</v>
      </c>
      <c r="H20" s="41">
        <v>0.59584975210742597</v>
      </c>
    </row>
    <row r="21" spans="1:8">
      <c r="A21" s="4" t="s">
        <v>35</v>
      </c>
      <c r="B21" s="12">
        <v>0.68144835213918953</v>
      </c>
      <c r="C21" s="12">
        <v>0</v>
      </c>
      <c r="E21" s="40" t="s">
        <v>36</v>
      </c>
      <c r="F21" s="41">
        <v>0.558214577802433</v>
      </c>
      <c r="G21" s="41">
        <v>0.44217004280291677</v>
      </c>
      <c r="H21" s="41">
        <v>0.1160445349995162</v>
      </c>
    </row>
    <row r="22" spans="1:8">
      <c r="A22" s="2" t="s">
        <v>37</v>
      </c>
      <c r="B22" s="13">
        <f>SUM(B13:B21)</f>
        <v>100</v>
      </c>
      <c r="C22" s="13">
        <f>SUM(C13:C21)</f>
        <v>100.00000000000036</v>
      </c>
      <c r="E22" s="40" t="s">
        <v>38</v>
      </c>
      <c r="F22" s="41">
        <v>0.5650406798500377</v>
      </c>
      <c r="G22" s="41">
        <v>0.57934744814972838</v>
      </c>
      <c r="H22" s="41">
        <v>-1.430676829969069E-2</v>
      </c>
    </row>
    <row r="23" spans="1:8">
      <c r="A23" s="14"/>
      <c r="B23" s="15"/>
      <c r="C23" s="15"/>
      <c r="E23" s="40" t="s">
        <v>39</v>
      </c>
      <c r="F23" s="41">
        <v>0.43478815660779641</v>
      </c>
      <c r="G23" s="41">
        <v>0.9266773228028613</v>
      </c>
      <c r="H23" s="41">
        <v>-0.49188916619506479</v>
      </c>
    </row>
    <row r="24" spans="1:8">
      <c r="E24" s="40" t="s">
        <v>40</v>
      </c>
      <c r="F24" s="41">
        <v>0.61150338051626019</v>
      </c>
      <c r="G24" s="41">
        <v>0.66103963404342791</v>
      </c>
      <c r="H24" s="41">
        <v>-4.9536253527167728E-2</v>
      </c>
    </row>
    <row r="25" spans="1:8" ht="25.5">
      <c r="A25" s="5" t="s">
        <v>41</v>
      </c>
      <c r="B25" s="3" t="s">
        <v>76</v>
      </c>
      <c r="C25" s="3" t="s">
        <v>2</v>
      </c>
    </row>
    <row r="26" spans="1:8">
      <c r="A26" s="6" t="s">
        <v>42</v>
      </c>
      <c r="B26" s="9">
        <v>2.6856905214963849</v>
      </c>
      <c r="C26" s="9">
        <v>3.1993477163689978</v>
      </c>
    </row>
    <row r="27" spans="1:8">
      <c r="A27" s="4" t="s">
        <v>43</v>
      </c>
      <c r="B27" s="9">
        <v>26.301531361069969</v>
      </c>
      <c r="C27" s="12">
        <v>71.000261793227551</v>
      </c>
    </row>
    <row r="28" spans="1:8">
      <c r="A28" s="4" t="s">
        <v>44</v>
      </c>
      <c r="B28" s="9">
        <v>3.7254120732710971</v>
      </c>
      <c r="C28" s="12">
        <v>10.218602983947349</v>
      </c>
    </row>
    <row r="29" spans="1:8">
      <c r="A29" s="4" t="s">
        <v>45</v>
      </c>
      <c r="B29" s="9">
        <v>21.671326670403548</v>
      </c>
      <c r="C29" s="12">
        <v>13.87462747255169</v>
      </c>
    </row>
    <row r="30" spans="1:8">
      <c r="A30" s="4" t="s">
        <v>46</v>
      </c>
      <c r="B30" s="9">
        <v>18.982400485944851</v>
      </c>
      <c r="C30" s="12">
        <v>6.1691987088617617E-2</v>
      </c>
    </row>
    <row r="31" spans="1:8">
      <c r="A31" s="4" t="s">
        <v>47</v>
      </c>
      <c r="B31" s="12">
        <v>12.52968671452882</v>
      </c>
      <c r="C31" s="12">
        <v>0</v>
      </c>
    </row>
    <row r="32" spans="1:8">
      <c r="A32" s="4" t="s">
        <v>48</v>
      </c>
      <c r="B32" s="12">
        <v>6.5464299990451069</v>
      </c>
      <c r="C32" s="12">
        <v>0</v>
      </c>
    </row>
    <row r="33" spans="1:3">
      <c r="A33" s="4" t="s">
        <v>49</v>
      </c>
      <c r="B33" s="12">
        <v>6.8760738221010431</v>
      </c>
      <c r="C33" s="12">
        <v>1.645468046816096</v>
      </c>
    </row>
    <row r="34" spans="1:3">
      <c r="A34" s="4" t="s">
        <v>35</v>
      </c>
      <c r="B34" s="12">
        <v>0.68144835213918953</v>
      </c>
      <c r="C34" s="12">
        <v>0</v>
      </c>
    </row>
    <row r="35" spans="1:3">
      <c r="A35" s="2" t="s">
        <v>37</v>
      </c>
      <c r="B35" s="13">
        <f>SUM(B26:B34)</f>
        <v>100</v>
      </c>
      <c r="C35" s="13">
        <f>SUM(C26:C34)</f>
        <v>100.00000000000031</v>
      </c>
    </row>
    <row r="37" spans="1:3" ht="25.5">
      <c r="A37" s="5" t="s">
        <v>50</v>
      </c>
      <c r="B37" s="3" t="s">
        <v>76</v>
      </c>
      <c r="C37" s="3" t="s">
        <v>2</v>
      </c>
    </row>
    <row r="38" spans="1:3">
      <c r="A38" s="6" t="s">
        <v>51</v>
      </c>
      <c r="B38" s="9">
        <v>26.990146746993769</v>
      </c>
      <c r="C38" s="9">
        <v>71.283055386579917</v>
      </c>
    </row>
    <row r="39" spans="1:3">
      <c r="A39" s="4" t="s">
        <v>52</v>
      </c>
      <c r="B39" s="9">
        <v>1.05375335943544</v>
      </c>
      <c r="C39" s="12">
        <v>4.0727545135917387</v>
      </c>
    </row>
    <row r="40" spans="1:3">
      <c r="A40" s="4" t="s">
        <v>53</v>
      </c>
      <c r="B40" s="9">
        <v>6.4232921808417736</v>
      </c>
      <c r="C40" s="12">
        <v>10.40802726027605</v>
      </c>
    </row>
    <row r="41" spans="1:3">
      <c r="A41" s="4" t="s">
        <v>54</v>
      </c>
      <c r="B41" s="9">
        <v>18.055079004209979</v>
      </c>
      <c r="C41" s="12">
        <v>12.733564136050569</v>
      </c>
    </row>
    <row r="42" spans="1:3">
      <c r="A42" s="4" t="s">
        <v>55</v>
      </c>
      <c r="B42" s="9">
        <v>19.15142167455436</v>
      </c>
      <c r="C42" s="12">
        <v>0.76893806967725098</v>
      </c>
    </row>
    <row r="43" spans="1:3">
      <c r="A43" s="4" t="s">
        <v>56</v>
      </c>
      <c r="B43" s="12">
        <v>17.108393650991669</v>
      </c>
      <c r="C43" s="12">
        <v>2.2698966061232549E-3</v>
      </c>
    </row>
    <row r="44" spans="1:3">
      <c r="A44" s="4" t="s">
        <v>57</v>
      </c>
      <c r="B44" s="12">
        <v>2.980278967779316</v>
      </c>
      <c r="C44" s="12">
        <v>0</v>
      </c>
    </row>
    <row r="45" spans="1:3">
      <c r="A45" s="4" t="s">
        <v>58</v>
      </c>
      <c r="B45" s="12">
        <v>7.5561860630545068</v>
      </c>
      <c r="C45" s="12">
        <v>0.73139073721869596</v>
      </c>
    </row>
    <row r="46" spans="1:3">
      <c r="A46" s="4" t="s">
        <v>35</v>
      </c>
      <c r="B46" s="12">
        <v>0.68144835213918953</v>
      </c>
      <c r="C46" s="12">
        <v>0</v>
      </c>
    </row>
    <row r="47" spans="1:3">
      <c r="A47" s="2" t="s">
        <v>37</v>
      </c>
      <c r="B47" s="13">
        <f>SUM(B38:B46)</f>
        <v>100</v>
      </c>
      <c r="C47" s="13">
        <f>SUM(C38:C46)</f>
        <v>100.00000000000034</v>
      </c>
    </row>
    <row r="49" spans="1:35" ht="26.25">
      <c r="Q49" s="16" t="s">
        <v>59</v>
      </c>
      <c r="R49" s="16" t="s">
        <v>76</v>
      </c>
      <c r="S49" s="16" t="s">
        <v>2</v>
      </c>
      <c r="T49" s="17" t="s">
        <v>60</v>
      </c>
      <c r="U49" s="18"/>
      <c r="V49" s="16" t="s">
        <v>59</v>
      </c>
      <c r="W49" s="16" t="s">
        <v>76</v>
      </c>
      <c r="X49" s="16" t="s">
        <v>2</v>
      </c>
      <c r="Y49" s="17" t="s">
        <v>60</v>
      </c>
      <c r="AA49" s="19" t="s">
        <v>61</v>
      </c>
      <c r="AB49" s="16" t="s">
        <v>76</v>
      </c>
      <c r="AC49" s="16" t="s">
        <v>2</v>
      </c>
      <c r="AD49" s="20" t="s">
        <v>60</v>
      </c>
      <c r="AE49" s="21"/>
      <c r="AF49" s="22" t="s">
        <v>62</v>
      </c>
      <c r="AG49" s="16" t="s">
        <v>76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21.132241019019865</v>
      </c>
      <c r="C52" s="53">
        <v>38.280373394762123</v>
      </c>
      <c r="D52" s="53">
        <v>-17.148132375742257</v>
      </c>
      <c r="E52" s="53">
        <v>0.87102222833638887</v>
      </c>
      <c r="F52" s="53">
        <v>2.3313901530361774</v>
      </c>
      <c r="G52" s="53">
        <v>-1.4603679246997885</v>
      </c>
      <c r="H52" s="53">
        <v>0.52257414715228157</v>
      </c>
      <c r="I52" s="53">
        <v>-0.18941945530003235</v>
      </c>
      <c r="J52" s="54">
        <v>3.3100111988070742</v>
      </c>
      <c r="K52" s="54">
        <v>0.69947954428845982</v>
      </c>
      <c r="L52" s="54">
        <v>0.36031483254199109</v>
      </c>
      <c r="M52" s="53">
        <v>-1.2834095260702356</v>
      </c>
      <c r="N52" s="53">
        <v>-0.27121319431022278</v>
      </c>
      <c r="O52" s="53">
        <v>-0.35646107583540132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0.33281514887753483</v>
      </c>
      <c r="C53" s="56">
        <v>2.2837246791452563</v>
      </c>
      <c r="D53" s="56">
        <v>-1.9509095302677213</v>
      </c>
      <c r="E53" s="56">
        <v>4.1351039730215478E-2</v>
      </c>
      <c r="F53" s="56">
        <v>8.710866611433131E-2</v>
      </c>
      <c r="G53" s="56">
        <v>-4.5757626384115832E-2</v>
      </c>
      <c r="H53" s="56">
        <v>1.0256370299602554E-2</v>
      </c>
      <c r="I53" s="56">
        <v>-2.9456084430651383E-2</v>
      </c>
      <c r="J53" s="57">
        <v>50.929089417492406</v>
      </c>
      <c r="K53" s="57">
        <v>0.16949972476680014</v>
      </c>
      <c r="L53" s="57">
        <v>-0.2172621733360533</v>
      </c>
      <c r="M53" s="56">
        <v>12.128841466192927</v>
      </c>
      <c r="N53" s="56">
        <v>4.036662178283016E-2</v>
      </c>
      <c r="O53" s="56">
        <v>-4.4881259742348377E-2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17.171328842952427</v>
      </c>
      <c r="C54" s="56">
        <v>35.996648715616871</v>
      </c>
      <c r="D54" s="56">
        <v>-18.825319872664441</v>
      </c>
      <c r="E54" s="56">
        <v>1.5991845197003618</v>
      </c>
      <c r="F54" s="56">
        <v>2.2442814869218459</v>
      </c>
      <c r="G54" s="56">
        <v>-0.64509696722148413</v>
      </c>
      <c r="H54" s="56">
        <v>0.41901518222928996</v>
      </c>
      <c r="I54" s="56">
        <v>-0.25326596549276997</v>
      </c>
      <c r="J54" s="57">
        <v>0.88651337412614162</v>
      </c>
      <c r="K54" s="57">
        <v>0.15222612670795294</v>
      </c>
      <c r="L54" s="57">
        <v>0.19982331306433765</v>
      </c>
      <c r="M54" s="56">
        <v>-1.8145352578285379</v>
      </c>
      <c r="N54" s="56">
        <v>-0.31157981609305296</v>
      </c>
      <c r="O54" s="56">
        <v>-0.31157981609305296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6.1220042085083692</v>
      </c>
      <c r="C55" s="59">
        <v>35.996648715616871</v>
      </c>
      <c r="D55" s="59">
        <v>-29.874644507108499</v>
      </c>
      <c r="E55" s="59">
        <v>0.5997540495361835</v>
      </c>
      <c r="F55" s="59">
        <v>2.2442814869218459</v>
      </c>
      <c r="G55" s="59">
        <v>-1.6445274373856624</v>
      </c>
      <c r="H55" s="59">
        <v>0.14035973034025789</v>
      </c>
      <c r="I55" s="59">
        <v>-0.5319214173818021</v>
      </c>
      <c r="J55" s="60">
        <v>-0.72969969894456255</v>
      </c>
      <c r="K55" s="60">
        <v>-4.4672246278859039E-2</v>
      </c>
      <c r="L55" s="60">
        <v>2.9249400775256812E-3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11.049324634444059</v>
      </c>
      <c r="C56" s="61" t="s">
        <v>14</v>
      </c>
      <c r="D56" s="59">
        <v>11.049324634444059</v>
      </c>
      <c r="E56" s="59">
        <v>1.0507227826867331</v>
      </c>
      <c r="F56" s="59" t="s">
        <v>14</v>
      </c>
      <c r="G56" s="59">
        <v>1.0507227826867331</v>
      </c>
      <c r="H56" s="59">
        <v>0.27071528997488942</v>
      </c>
      <c r="I56" s="59">
        <v>0.27071528997488942</v>
      </c>
      <c r="J56" s="60">
        <v>1.7948862034307953</v>
      </c>
      <c r="K56" s="60">
        <v>0.1983228034359166</v>
      </c>
      <c r="L56" s="60">
        <v>0.1983228034359166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0.26401041197025865</v>
      </c>
      <c r="F57" s="59" t="s">
        <v>14</v>
      </c>
      <c r="G57" s="59">
        <v>0.26401041197025865</v>
      </c>
      <c r="H57" s="59">
        <v>4.9300620422257184E-2</v>
      </c>
      <c r="I57" s="59">
        <v>4.9300620422257184E-2</v>
      </c>
      <c r="J57" s="60">
        <v>-0.50883029227828014</v>
      </c>
      <c r="K57" s="60">
        <v>-9.5275109203335484E-3</v>
      </c>
      <c r="L57" s="60">
        <v>-9.5275109203335484E-3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-0.31530272449281344</v>
      </c>
      <c r="F58" s="59" t="s">
        <v>14</v>
      </c>
      <c r="G58" s="59">
        <v>-0.31530272449281344</v>
      </c>
      <c r="H58" s="59">
        <v>-4.1360458508114553E-2</v>
      </c>
      <c r="I58" s="59">
        <v>-4.1360458508114553E-2</v>
      </c>
      <c r="J58" s="60">
        <v>-0.24120295760334901</v>
      </c>
      <c r="K58" s="60">
        <v>8.1030804712289226E-3</v>
      </c>
      <c r="L58" s="60">
        <v>8.1030804712289226E-3</v>
      </c>
      <c r="M58" s="59">
        <v>9.2747410615007748</v>
      </c>
      <c r="N58" s="59">
        <v>-0.31157981609305296</v>
      </c>
      <c r="O58" s="59">
        <v>-0.31157981609305296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109</v>
      </c>
      <c r="B59" s="56">
        <v>0.28781454375465187</v>
      </c>
      <c r="C59" s="62" t="s">
        <v>14</v>
      </c>
      <c r="D59" s="56">
        <v>0.28781454375465187</v>
      </c>
      <c r="E59" s="56">
        <v>4.2158733562766906E-2</v>
      </c>
      <c r="F59" s="56" t="s">
        <v>14</v>
      </c>
      <c r="G59" s="56">
        <v>4.2158733562766906E-2</v>
      </c>
      <c r="H59" s="56">
        <v>1.1137281188207827E-2</v>
      </c>
      <c r="I59" s="56">
        <v>1.1137281188207827E-2</v>
      </c>
      <c r="J59" s="57">
        <v>49.768734061187097</v>
      </c>
      <c r="K59" s="57">
        <v>0.14324165487067167</v>
      </c>
      <c r="L59" s="57">
        <v>0.14324165487067167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8" t="s">
        <v>110</v>
      </c>
      <c r="B60" s="59">
        <v>0.28781454375465187</v>
      </c>
      <c r="C60" s="61" t="s">
        <v>14</v>
      </c>
      <c r="D60" s="59">
        <v>0.28781454375465187</v>
      </c>
      <c r="E60" s="59">
        <v>4.2158733562766906E-2</v>
      </c>
      <c r="F60" s="59" t="s">
        <v>14</v>
      </c>
      <c r="G60" s="59">
        <v>4.2158733562766906E-2</v>
      </c>
      <c r="H60" s="59">
        <v>1.1137281188207827E-2</v>
      </c>
      <c r="I60" s="59">
        <v>1.1137281188207827E-2</v>
      </c>
      <c r="J60" s="60">
        <v>49.768734061187097</v>
      </c>
      <c r="K60" s="60">
        <v>0.14324165487067167</v>
      </c>
      <c r="L60" s="60">
        <v>0.14324165487067167</v>
      </c>
      <c r="M60" s="59" t="s">
        <v>14</v>
      </c>
      <c r="N60" s="59" t="s">
        <v>14</v>
      </c>
      <c r="O60" s="59" t="s">
        <v>14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111</v>
      </c>
      <c r="B61" s="56">
        <v>3.3402824834352494</v>
      </c>
      <c r="C61" s="62" t="s">
        <v>14</v>
      </c>
      <c r="D61" s="56">
        <v>3.3402824834352494</v>
      </c>
      <c r="E61" s="56">
        <v>-0.81167206465695529</v>
      </c>
      <c r="F61" s="56" t="s">
        <v>14</v>
      </c>
      <c r="G61" s="56">
        <v>-0.81167206465695529</v>
      </c>
      <c r="H61" s="56">
        <v>8.2165313435181186E-2</v>
      </c>
      <c r="I61" s="56">
        <v>8.2165313435181186E-2</v>
      </c>
      <c r="J61" s="57">
        <v>7.0207247173255736</v>
      </c>
      <c r="K61" s="57">
        <v>0.23451203794303507</v>
      </c>
      <c r="L61" s="57">
        <v>0.23451203794303507</v>
      </c>
      <c r="M61" s="56" t="s">
        <v>14</v>
      </c>
      <c r="N61" s="56" t="s">
        <v>14</v>
      </c>
      <c r="O61" s="56" t="s">
        <v>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112</v>
      </c>
      <c r="B62" s="64">
        <v>40.530770384491802</v>
      </c>
      <c r="C62" s="64">
        <v>30.326231137594316</v>
      </c>
      <c r="D62" s="64">
        <v>10.204539246897488</v>
      </c>
      <c r="E62" s="64">
        <v>1.1022147409749361</v>
      </c>
      <c r="F62" s="64">
        <v>1.4472224848749633</v>
      </c>
      <c r="G62" s="64">
        <v>-0.3450077439000272</v>
      </c>
      <c r="H62" s="64">
        <v>1.365110756044883</v>
      </c>
      <c r="I62" s="64">
        <v>0.51267358630677429</v>
      </c>
      <c r="J62" s="65">
        <v>107.41031459144496</v>
      </c>
      <c r="K62" s="65">
        <v>43.534227976318853</v>
      </c>
      <c r="L62" s="65">
        <v>36.144000527386922</v>
      </c>
      <c r="M62" s="64">
        <v>4.602113527660781</v>
      </c>
      <c r="N62" s="64">
        <v>1.8652720667298279</v>
      </c>
      <c r="O62" s="64">
        <v>0.23430245172771702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113</v>
      </c>
      <c r="B63" s="56">
        <v>21.426626122436879</v>
      </c>
      <c r="C63" s="56">
        <v>28.100938891367978</v>
      </c>
      <c r="D63" s="56">
        <v>-6.6743127689310979</v>
      </c>
      <c r="E63" s="56">
        <v>1.0336551649671004</v>
      </c>
      <c r="F63" s="56">
        <v>1.3393581882522179</v>
      </c>
      <c r="G63" s="56">
        <v>-0.30570302328511745</v>
      </c>
      <c r="H63" s="56">
        <v>0.61863085893762049</v>
      </c>
      <c r="I63" s="56">
        <v>-0.17682819397053318</v>
      </c>
      <c r="J63" s="57">
        <v>13.371220061799413</v>
      </c>
      <c r="K63" s="57">
        <v>2.8650013306500335</v>
      </c>
      <c r="L63" s="57">
        <v>-2.9433885385511593</v>
      </c>
      <c r="M63" s="56">
        <v>5.3513941369120355</v>
      </c>
      <c r="N63" s="56">
        <v>1.1466232140541499</v>
      </c>
      <c r="O63" s="56">
        <v>-0.37824710946184625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114</v>
      </c>
      <c r="B64" s="56">
        <v>15.317339430925575</v>
      </c>
      <c r="C64" s="62" t="s">
        <v>14</v>
      </c>
      <c r="D64" s="56">
        <v>15.317339430925575</v>
      </c>
      <c r="E64" s="56">
        <v>1.2982311151028559E-2</v>
      </c>
      <c r="F64" s="56" t="s">
        <v>14</v>
      </c>
      <c r="G64" s="56">
        <v>1.2982311151028559E-2</v>
      </c>
      <c r="H64" s="56">
        <v>0.66630310024259154</v>
      </c>
      <c r="I64" s="56">
        <v>0.66630310024259154</v>
      </c>
      <c r="J64" s="57">
        <v>241.00831748741012</v>
      </c>
      <c r="K64" s="57">
        <v>36.916062046309371</v>
      </c>
      <c r="L64" s="57">
        <v>36.916062046309371</v>
      </c>
      <c r="M64" s="56">
        <v>4.3102819380002586</v>
      </c>
      <c r="N64" s="56">
        <v>0.6602205148733773</v>
      </c>
      <c r="O64" s="56">
        <v>0.6602205148733773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115</v>
      </c>
      <c r="B65" s="56">
        <v>1.4485526602664944</v>
      </c>
      <c r="C65" s="56">
        <v>1.7066456783670265</v>
      </c>
      <c r="D65" s="56">
        <v>-0.25809301810053203</v>
      </c>
      <c r="E65" s="56">
        <v>4.441318781294145E-2</v>
      </c>
      <c r="F65" s="56">
        <v>9.5279285065683936E-2</v>
      </c>
      <c r="G65" s="56">
        <v>-5.0866097252742486E-2</v>
      </c>
      <c r="H65" s="56">
        <v>5.1369395451774644E-2</v>
      </c>
      <c r="I65" s="56">
        <v>4.378669133116006E-3</v>
      </c>
      <c r="J65" s="57">
        <v>176.93452696903762</v>
      </c>
      <c r="K65" s="57">
        <v>2.5629897973399332</v>
      </c>
      <c r="L65" s="57">
        <v>1.2856328099717134</v>
      </c>
      <c r="M65" s="56">
        <v>3.0453404769479282</v>
      </c>
      <c r="N65" s="56">
        <v>4.411336049300156E-2</v>
      </c>
      <c r="O65" s="56">
        <v>-4.9573864096729522E-2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116</v>
      </c>
      <c r="B66" s="56">
        <v>2.3251507557979756</v>
      </c>
      <c r="C66" s="56">
        <v>0.4430507241131465</v>
      </c>
      <c r="D66" s="56">
        <v>1.8821000316848291</v>
      </c>
      <c r="E66" s="56">
        <v>1.1131323506203309E-2</v>
      </c>
      <c r="F66" s="56">
        <v>1.0294854169898258E-2</v>
      </c>
      <c r="G66" s="56">
        <v>8.3646933630505092E-4</v>
      </c>
      <c r="H66" s="56">
        <v>2.8336337536154568E-2</v>
      </c>
      <c r="I66" s="56">
        <v>1.9926474243621838E-2</v>
      </c>
      <c r="J66" s="57">
        <v>50.527521671127793</v>
      </c>
      <c r="K66" s="57">
        <v>1.1748410520222139</v>
      </c>
      <c r="L66" s="57">
        <v>0.91361715292640655</v>
      </c>
      <c r="M66" s="56">
        <v>0.61363880364615131</v>
      </c>
      <c r="N66" s="56">
        <v>1.4268027280848142E-2</v>
      </c>
      <c r="O66" s="56">
        <v>4.1198347981805574E-3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117</v>
      </c>
      <c r="B67" s="66" t="s">
        <v>14</v>
      </c>
      <c r="C67" s="56">
        <v>7.5595843746166402E-2</v>
      </c>
      <c r="D67" s="56">
        <v>-7.5595843746166402E-2</v>
      </c>
      <c r="E67" s="56" t="s">
        <v>14</v>
      </c>
      <c r="F67" s="56">
        <v>2.2901573871632382E-3</v>
      </c>
      <c r="G67" s="56">
        <v>-2.2901573871632382E-3</v>
      </c>
      <c r="H67" s="56" t="s">
        <v>14</v>
      </c>
      <c r="I67" s="56">
        <v>-1.5775272187636886E-3</v>
      </c>
      <c r="J67" s="57" t="s">
        <v>14</v>
      </c>
      <c r="K67" s="57" t="s">
        <v>14</v>
      </c>
      <c r="L67" s="57">
        <v>-4.3256693266710812E-2</v>
      </c>
      <c r="M67" s="56" t="s">
        <v>14</v>
      </c>
      <c r="N67" s="56" t="s">
        <v>14</v>
      </c>
      <c r="O67" s="56">
        <v>-2.2638744137160284E-3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5" t="s">
        <v>118</v>
      </c>
      <c r="B68" s="56">
        <v>1.3101415064878512E-2</v>
      </c>
      <c r="C68" s="62" t="s">
        <v>14</v>
      </c>
      <c r="D68" s="56">
        <v>1.3101415064878512E-2</v>
      </c>
      <c r="E68" s="56">
        <v>3.2753537662196282E-5</v>
      </c>
      <c r="F68" s="56" t="s">
        <v>14</v>
      </c>
      <c r="G68" s="56">
        <v>3.2753537662196282E-5</v>
      </c>
      <c r="H68" s="56">
        <v>4.7106387674159341E-4</v>
      </c>
      <c r="I68" s="56">
        <v>4.7106387674159341E-4</v>
      </c>
      <c r="J68" s="57">
        <v>117.03888413098537</v>
      </c>
      <c r="K68" s="57">
        <v>1.5333749997302621E-2</v>
      </c>
      <c r="L68" s="57">
        <v>1.5333749997302621E-2</v>
      </c>
      <c r="M68" s="56">
        <v>0.35835845378869802</v>
      </c>
      <c r="N68" s="56">
        <v>4.6950028450938182E-5</v>
      </c>
      <c r="O68" s="56">
        <v>4.6950028450938182E-5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119</v>
      </c>
      <c r="B69" s="64">
        <v>22.210508263697673</v>
      </c>
      <c r="C69" s="64">
        <v>31.39339546764382</v>
      </c>
      <c r="D69" s="64">
        <v>-9.1828872039461462</v>
      </c>
      <c r="E69" s="64">
        <v>2.0659072483717633</v>
      </c>
      <c r="F69" s="64">
        <v>2.2648323271171971</v>
      </c>
      <c r="G69" s="64">
        <v>-0.19892507874543375</v>
      </c>
      <c r="H69" s="64">
        <v>0.94575034570770311</v>
      </c>
      <c r="I69" s="64">
        <v>-5.2348912538268899E-2</v>
      </c>
      <c r="J69" s="65">
        <v>186.64471265334842</v>
      </c>
      <c r="K69" s="65">
        <v>41.45473932762674</v>
      </c>
      <c r="L69" s="65">
        <v>6.7518571822648639</v>
      </c>
      <c r="M69" s="64">
        <v>8.9677701177900424</v>
      </c>
      <c r="N69" s="64">
        <v>1.9917873230811682</v>
      </c>
      <c r="O69" s="64">
        <v>-0.20733376415305416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5" t="s">
        <v>120</v>
      </c>
      <c r="B70" s="56">
        <v>21.692330702419927</v>
      </c>
      <c r="C70" s="56">
        <v>25.829613674930389</v>
      </c>
      <c r="D70" s="56">
        <v>-4.1372829725104641</v>
      </c>
      <c r="E70" s="56">
        <v>2.0280551389042571</v>
      </c>
      <c r="F70" s="56">
        <v>1.9280943793153971</v>
      </c>
      <c r="G70" s="56">
        <v>9.9960759588860082E-2</v>
      </c>
      <c r="H70" s="56">
        <v>0.92238621213307348</v>
      </c>
      <c r="I70" s="56">
        <v>7.9114204559544876E-2</v>
      </c>
      <c r="J70" s="57">
        <v>185.81718308801945</v>
      </c>
      <c r="K70" s="57">
        <v>40.3080778573743</v>
      </c>
      <c r="L70" s="57">
        <v>10.433589559008546</v>
      </c>
      <c r="M70" s="56">
        <v>9.0107296643824402</v>
      </c>
      <c r="N70" s="56">
        <v>1.9546372774988923</v>
      </c>
      <c r="O70" s="56">
        <v>8.2976312290477638E-2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8" t="s">
        <v>121</v>
      </c>
      <c r="B71" s="59">
        <v>5.7886050803159543</v>
      </c>
      <c r="C71" s="59">
        <v>8.2084648168932102</v>
      </c>
      <c r="D71" s="59">
        <v>-2.4198597365772554</v>
      </c>
      <c r="E71" s="59">
        <v>0.42895710732908993</v>
      </c>
      <c r="F71" s="59">
        <v>0.48995511988414892</v>
      </c>
      <c r="G71" s="59">
        <v>-6.0998012555058989E-2</v>
      </c>
      <c r="H71" s="59">
        <v>0.22309949048808181</v>
      </c>
      <c r="I71" s="59">
        <v>-2.7090071069323041E-2</v>
      </c>
      <c r="J71" s="60">
        <v>167.65193879427457</v>
      </c>
      <c r="K71" s="60">
        <v>9.7047086462935717</v>
      </c>
      <c r="L71" s="60">
        <v>0.57999629660448271</v>
      </c>
      <c r="M71" s="59">
        <v>7.2017163057312041</v>
      </c>
      <c r="N71" s="59">
        <v>0.41687891594349902</v>
      </c>
      <c r="O71" s="59">
        <v>-6.2272915669325246E-2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58" t="s">
        <v>122</v>
      </c>
      <c r="B72" s="59">
        <v>15.369842188614705</v>
      </c>
      <c r="C72" s="59">
        <v>15.635526510908754</v>
      </c>
      <c r="D72" s="59">
        <v>-0.26568432229404915</v>
      </c>
      <c r="E72" s="59">
        <v>1.5568921752125073</v>
      </c>
      <c r="F72" s="59">
        <v>1.2467024986226658</v>
      </c>
      <c r="G72" s="59">
        <v>0.31018967658984153</v>
      </c>
      <c r="H72" s="59">
        <v>0.67860905045660569</v>
      </c>
      <c r="I72" s="59">
        <v>0.1539388107602756</v>
      </c>
      <c r="J72" s="60">
        <v>193.84969933027637</v>
      </c>
      <c r="K72" s="60">
        <v>29.794392870167584</v>
      </c>
      <c r="L72" s="60">
        <v>11.278030523877387</v>
      </c>
      <c r="M72" s="59">
        <v>9.7363367614800556</v>
      </c>
      <c r="N72" s="59">
        <v>1.4964595951915642</v>
      </c>
      <c r="O72" s="59">
        <v>0.28883339239189998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58" t="s">
        <v>123</v>
      </c>
      <c r="B73" s="59">
        <v>0.53388343348926837</v>
      </c>
      <c r="C73" s="59">
        <v>1.9856223471284291</v>
      </c>
      <c r="D73" s="59">
        <v>-1.4517389136391607</v>
      </c>
      <c r="E73" s="59">
        <v>4.2205856362659902E-2</v>
      </c>
      <c r="F73" s="59">
        <v>0.19143676080858232</v>
      </c>
      <c r="G73" s="59">
        <v>-0.14923090444592241</v>
      </c>
      <c r="H73" s="59">
        <v>2.0677671188385982E-2</v>
      </c>
      <c r="I73" s="59">
        <v>-4.7734535131407768E-2</v>
      </c>
      <c r="J73" s="60">
        <v>151.52677348049016</v>
      </c>
      <c r="K73" s="60">
        <v>0.80897634091314707</v>
      </c>
      <c r="L73" s="60">
        <v>-1.4244372614733241</v>
      </c>
      <c r="M73" s="59">
        <v>7.7355399649536398</v>
      </c>
      <c r="N73" s="59">
        <v>4.1298766363829037E-2</v>
      </c>
      <c r="O73" s="59">
        <v>-0.14358416443209709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55" t="s">
        <v>124</v>
      </c>
      <c r="B74" s="56">
        <v>0.51817756127774739</v>
      </c>
      <c r="C74" s="56">
        <v>5.563781792713427</v>
      </c>
      <c r="D74" s="56">
        <v>-5.0456042314356795</v>
      </c>
      <c r="E74" s="56">
        <v>3.7852109467506084E-2</v>
      </c>
      <c r="F74" s="56">
        <v>0.3367379478018</v>
      </c>
      <c r="G74" s="56">
        <v>-0.29888583833429394</v>
      </c>
      <c r="H74" s="56">
        <v>2.3364133574629613E-2</v>
      </c>
      <c r="I74" s="56">
        <v>-0.13146311709781375</v>
      </c>
      <c r="J74" s="57">
        <v>221.28736478379102</v>
      </c>
      <c r="K74" s="57">
        <v>1.1466614702524411</v>
      </c>
      <c r="L74" s="57">
        <v>-3.6817323767436791</v>
      </c>
      <c r="M74" s="56">
        <v>7.1693659390942308</v>
      </c>
      <c r="N74" s="56">
        <v>3.7150045582275956E-2</v>
      </c>
      <c r="O74" s="56">
        <v>-0.29031007644353191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125</v>
      </c>
      <c r="B75" s="64">
        <v>19.222278706221655</v>
      </c>
      <c r="C75" s="67" t="s">
        <v>14</v>
      </c>
      <c r="D75" s="64">
        <v>19.222278706221655</v>
      </c>
      <c r="E75" s="64">
        <v>0.76375020829086571</v>
      </c>
      <c r="F75" s="64" t="s">
        <v>14</v>
      </c>
      <c r="G75" s="64">
        <v>0.76375020829086571</v>
      </c>
      <c r="H75" s="64">
        <v>1.0019782865216111</v>
      </c>
      <c r="I75" s="64">
        <v>1.0019782865216111</v>
      </c>
      <c r="J75" s="65">
        <v>336.96241445310704</v>
      </c>
      <c r="K75" s="65">
        <v>64.771854441389891</v>
      </c>
      <c r="L75" s="65">
        <v>64.771854441389891</v>
      </c>
      <c r="M75" s="64">
        <v>3.8280271166906301</v>
      </c>
      <c r="N75" s="64">
        <v>0.7358340413200144</v>
      </c>
      <c r="O75" s="64">
        <v>0.7358340413200144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3" t="s">
        <v>126</v>
      </c>
      <c r="B76" s="64">
        <v>6.2646598012231474</v>
      </c>
      <c r="C76" s="67" t="s">
        <v>14</v>
      </c>
      <c r="D76" s="64">
        <v>6.2646598012231474</v>
      </c>
      <c r="E76" s="64">
        <v>1.5630572441353262E-2</v>
      </c>
      <c r="F76" s="64" t="s">
        <v>14</v>
      </c>
      <c r="G76" s="64">
        <v>1.5630572441353262E-2</v>
      </c>
      <c r="H76" s="64">
        <v>0.2487281081394124</v>
      </c>
      <c r="I76" s="64">
        <v>0.2487281081394124</v>
      </c>
      <c r="J76" s="65">
        <v>302.63926294721836</v>
      </c>
      <c r="K76" s="65">
        <v>18.959320248572425</v>
      </c>
      <c r="L76" s="65">
        <v>18.959320248572425</v>
      </c>
      <c r="M76" s="64">
        <v>4.611669196340479</v>
      </c>
      <c r="N76" s="64">
        <v>0.28890538630853252</v>
      </c>
      <c r="O76" s="64">
        <v>0.28890538630853252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77" s="63" t="s">
        <v>127</v>
      </c>
      <c r="B77" s="64">
        <v>3.548507174462495</v>
      </c>
      <c r="C77" s="67" t="s">
        <v>14</v>
      </c>
      <c r="D77" s="64">
        <v>3.548507174462495</v>
      </c>
      <c r="E77" s="64">
        <v>0.25444618479151415</v>
      </c>
      <c r="F77" s="64" t="s">
        <v>14</v>
      </c>
      <c r="G77" s="64">
        <v>0.25444618479151415</v>
      </c>
      <c r="H77" s="64">
        <v>0.19682306541343839</v>
      </c>
      <c r="I77" s="64">
        <v>0.19682306541343839</v>
      </c>
      <c r="J77" s="65">
        <v>326.72436426613541</v>
      </c>
      <c r="K77" s="65">
        <v>11.59383750670079</v>
      </c>
      <c r="L77" s="65">
        <v>11.59383750670079</v>
      </c>
      <c r="M77" s="64">
        <v>6.9908399855761729</v>
      </c>
      <c r="N77" s="64">
        <v>0.24807045844336328</v>
      </c>
      <c r="O77" s="64">
        <v>0.24807045844336328</v>
      </c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78" s="63" t="s">
        <v>128</v>
      </c>
      <c r="B78" s="64">
        <v>3.5176466961954764</v>
      </c>
      <c r="C78" s="67" t="s">
        <v>14</v>
      </c>
      <c r="D78" s="64">
        <v>3.5176466961954764</v>
      </c>
      <c r="E78" s="64">
        <v>2.8827775792484009E-2</v>
      </c>
      <c r="F78" s="64" t="s">
        <v>14</v>
      </c>
      <c r="G78" s="64">
        <v>2.8827775792484009E-2</v>
      </c>
      <c r="H78" s="64">
        <v>2.8487465599936316E-2</v>
      </c>
      <c r="I78" s="64">
        <v>2.8487465599936316E-2</v>
      </c>
      <c r="J78" s="65">
        <v>0.64005803822971397</v>
      </c>
      <c r="K78" s="65">
        <v>2.251498043552112E-2</v>
      </c>
      <c r="L78" s="65">
        <v>2.251498043552112E-2</v>
      </c>
      <c r="M78" s="64">
        <v>3.7401052501374635E-6</v>
      </c>
      <c r="N78" s="64">
        <v>1.3156368876569407E-7</v>
      </c>
      <c r="O78" s="64">
        <v>1.3156368876569407E-7</v>
      </c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79" s="63" t="s">
        <v>129</v>
      </c>
      <c r="B79" s="64">
        <v>-16.426612045312105</v>
      </c>
      <c r="C79" s="67" t="s">
        <v>14</v>
      </c>
      <c r="D79" s="64">
        <v>-16.426612045312105</v>
      </c>
      <c r="E79" s="64">
        <v>-1.6426612045312107E-4</v>
      </c>
      <c r="F79" s="64" t="s">
        <v>14</v>
      </c>
      <c r="G79" s="64">
        <v>-1.6426612045312107E-4</v>
      </c>
      <c r="H79" s="64">
        <v>-0.12671476998719763</v>
      </c>
      <c r="I79" s="64">
        <v>-0.12671476998719763</v>
      </c>
      <c r="J79" s="65">
        <v>9.999999999999998E-4</v>
      </c>
      <c r="K79" s="65">
        <v>-1.6426612045312107E-4</v>
      </c>
      <c r="L79" s="65">
        <v>-1.6426612045312107E-4</v>
      </c>
      <c r="M79" s="64">
        <v>9.999999999999998E-4</v>
      </c>
      <c r="N79" s="64">
        <v>-1.6426612045312107E-4</v>
      </c>
      <c r="O79" s="64">
        <v>-1.6426612045312107E-4</v>
      </c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>
      <c r="A80" s="68" t="s">
        <v>37</v>
      </c>
      <c r="B80" s="69">
        <v>100</v>
      </c>
      <c r="C80" s="69">
        <v>100.00000000000027</v>
      </c>
      <c r="D80" s="69">
        <v>-2.6645352591003757E-13</v>
      </c>
      <c r="E80" s="69">
        <v>5.1016346928788527</v>
      </c>
      <c r="F80" s="69">
        <v>6.0434449650283373</v>
      </c>
      <c r="G80" s="69">
        <v>-0.94181027214948454</v>
      </c>
      <c r="H80" s="69">
        <v>4.1827374045920687</v>
      </c>
      <c r="I80" s="69">
        <v>1.6202073741556742</v>
      </c>
      <c r="J80" s="70">
        <v>181.03580975921221</v>
      </c>
      <c r="K80" s="70">
        <v>181.03580975921221</v>
      </c>
      <c r="L80" s="70">
        <v>138.60353545317193</v>
      </c>
      <c r="M80" s="69">
        <v>4.8584919470159162</v>
      </c>
      <c r="N80" s="69">
        <v>4.8584919470159198</v>
      </c>
      <c r="O80" s="69">
        <v>0.94315336325440802</v>
      </c>
    </row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38.25">
      <c r="A1" s="2" t="s">
        <v>0</v>
      </c>
      <c r="B1" s="3" t="s">
        <v>77</v>
      </c>
      <c r="C1" s="3" t="s">
        <v>78</v>
      </c>
    </row>
    <row r="2" spans="1:8">
      <c r="A2" s="4" t="s">
        <v>3</v>
      </c>
      <c r="B2" s="9">
        <v>5.6014892653519137</v>
      </c>
      <c r="C2" s="9">
        <v>6.5967760251783476</v>
      </c>
    </row>
    <row r="3" spans="1:8">
      <c r="A3" s="4" t="s">
        <v>4</v>
      </c>
      <c r="B3" s="10">
        <v>144.6511832096395</v>
      </c>
      <c r="C3" s="10">
        <v>50.294461501444843</v>
      </c>
    </row>
    <row r="4" spans="1:8">
      <c r="A4" s="4" t="s">
        <v>5</v>
      </c>
      <c r="B4" s="9">
        <v>4.1321391262617473</v>
      </c>
      <c r="C4" s="9">
        <v>3.2786642750310269</v>
      </c>
    </row>
    <row r="5" spans="1:8">
      <c r="A5" s="4" t="s">
        <v>6</v>
      </c>
      <c r="B5" s="9">
        <v>8.1925332086016098</v>
      </c>
      <c r="C5" s="9">
        <v>8.7063236706742408</v>
      </c>
    </row>
    <row r="6" spans="1:8">
      <c r="A6" s="4" t="s">
        <v>7</v>
      </c>
      <c r="B6" s="9">
        <v>3.9899673481004201</v>
      </c>
      <c r="C6" s="9">
        <v>2.459904723529768</v>
      </c>
    </row>
    <row r="7" spans="1:8">
      <c r="A7" s="4" t="s">
        <v>8</v>
      </c>
      <c r="B7" s="9">
        <v>3.9260690573238799</v>
      </c>
      <c r="C7" s="9">
        <v>2.4544285297317989</v>
      </c>
    </row>
    <row r="8" spans="1:8">
      <c r="A8" s="4" t="s">
        <v>9</v>
      </c>
      <c r="B8" s="9">
        <v>3.2652490425587062</v>
      </c>
      <c r="C8" s="9">
        <v>2.8981911974717449</v>
      </c>
    </row>
    <row r="9" spans="1:8">
      <c r="A9" s="4" t="s">
        <v>10</v>
      </c>
      <c r="B9" s="9" t="s">
        <v>79</v>
      </c>
      <c r="C9" s="9" t="s">
        <v>66</v>
      </c>
    </row>
    <row r="10" spans="1:8">
      <c r="A10" s="4" t="s">
        <v>13</v>
      </c>
      <c r="B10" s="39">
        <v>167835662.29403329</v>
      </c>
      <c r="C10" s="7" t="s">
        <v>14</v>
      </c>
    </row>
    <row r="11" spans="1:8">
      <c r="B11" s="1"/>
    </row>
    <row r="12" spans="1:8" ht="38.25">
      <c r="A12" s="5" t="s">
        <v>15</v>
      </c>
      <c r="B12" s="3" t="s">
        <v>77</v>
      </c>
      <c r="C12" s="3" t="s">
        <v>78</v>
      </c>
    </row>
    <row r="13" spans="1:8">
      <c r="A13" s="6" t="s">
        <v>16</v>
      </c>
      <c r="B13" s="9">
        <v>16.380500127346249</v>
      </c>
      <c r="C13" s="9">
        <v>59.290037727868963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1.7959303748620941</v>
      </c>
      <c r="C14" s="12">
        <v>5.7513614574524663</v>
      </c>
      <c r="E14" s="40" t="s">
        <v>22</v>
      </c>
      <c r="F14" s="41">
        <v>4.7555995818293499E-2</v>
      </c>
      <c r="G14" s="41">
        <v>1.117899666037515E-2</v>
      </c>
      <c r="H14" s="41">
        <v>3.6376999157918373E-2</v>
      </c>
    </row>
    <row r="15" spans="1:8">
      <c r="A15" s="4" t="s">
        <v>23</v>
      </c>
      <c r="B15" s="9">
        <v>5.684161327717117</v>
      </c>
      <c r="C15" s="12">
        <v>15.20986002108241</v>
      </c>
      <c r="E15" s="40" t="s">
        <v>24</v>
      </c>
      <c r="F15" s="41">
        <v>4.0373150571775783E-2</v>
      </c>
      <c r="G15" s="41">
        <v>0.1011595815340916</v>
      </c>
      <c r="H15" s="41">
        <v>-6.0786430962315841E-2</v>
      </c>
    </row>
    <row r="16" spans="1:8">
      <c r="A16" s="4" t="s">
        <v>25</v>
      </c>
      <c r="B16" s="9">
        <v>29.306204794951469</v>
      </c>
      <c r="C16" s="12">
        <v>19.734707499385578</v>
      </c>
      <c r="E16" s="40" t="s">
        <v>26</v>
      </c>
      <c r="F16" s="41">
        <v>0.14807312731001149</v>
      </c>
      <c r="G16" s="41">
        <v>0.29016987076403139</v>
      </c>
      <c r="H16" s="41">
        <v>-0.1420967434540199</v>
      </c>
    </row>
    <row r="17" spans="1:8">
      <c r="A17" s="4" t="s">
        <v>27</v>
      </c>
      <c r="B17" s="9">
        <v>18.635945197189479</v>
      </c>
      <c r="C17" s="12">
        <v>0</v>
      </c>
      <c r="E17" s="40" t="s">
        <v>28</v>
      </c>
      <c r="F17" s="41">
        <v>0.27893863700839122</v>
      </c>
      <c r="G17" s="41">
        <v>0.59291029052151045</v>
      </c>
      <c r="H17" s="41">
        <v>-0.31397165351311929</v>
      </c>
    </row>
    <row r="18" spans="1:8">
      <c r="A18" s="4" t="s">
        <v>29</v>
      </c>
      <c r="B18" s="12">
        <v>16.618508013920309</v>
      </c>
      <c r="C18" s="12">
        <v>0</v>
      </c>
      <c r="E18" s="40" t="s">
        <v>30</v>
      </c>
      <c r="F18" s="41">
        <v>0.45788301973762108</v>
      </c>
      <c r="G18" s="41">
        <v>0.87085813481386776</v>
      </c>
      <c r="H18" s="41">
        <v>-0.41297511507624679</v>
      </c>
    </row>
    <row r="19" spans="1:8">
      <c r="A19" s="4" t="s">
        <v>31</v>
      </c>
      <c r="B19" s="12">
        <v>2.4515705413608759</v>
      </c>
      <c r="C19" s="12">
        <v>0</v>
      </c>
      <c r="E19" s="40" t="s">
        <v>32</v>
      </c>
      <c r="F19" s="41">
        <v>0.81378513580413259</v>
      </c>
      <c r="G19" s="41">
        <v>0.91920255293976472</v>
      </c>
      <c r="H19" s="41">
        <v>-0.105417417135632</v>
      </c>
    </row>
    <row r="20" spans="1:8">
      <c r="A20" s="4" t="s">
        <v>33</v>
      </c>
      <c r="B20" s="12">
        <v>0</v>
      </c>
      <c r="C20" s="12">
        <v>1.4033294210606151E-2</v>
      </c>
      <c r="E20" s="40" t="s">
        <v>34</v>
      </c>
      <c r="F20" s="41">
        <v>1.249176060948183</v>
      </c>
      <c r="G20" s="41">
        <v>0.72305265450294565</v>
      </c>
      <c r="H20" s="41">
        <v>0.52612340644523758</v>
      </c>
    </row>
    <row r="21" spans="1:8">
      <c r="A21" s="4" t="s">
        <v>35</v>
      </c>
      <c r="B21" s="12">
        <v>9.1271796226524913</v>
      </c>
      <c r="C21" s="12">
        <v>0</v>
      </c>
      <c r="E21" s="40" t="s">
        <v>36</v>
      </c>
      <c r="F21" s="41">
        <v>0.56306022531617328</v>
      </c>
      <c r="G21" s="41">
        <v>0.31283657805221332</v>
      </c>
      <c r="H21" s="41">
        <v>0.25022364726396013</v>
      </c>
    </row>
    <row r="22" spans="1:8">
      <c r="A22" s="2" t="s">
        <v>37</v>
      </c>
      <c r="B22" s="13">
        <f>SUM(B13:B21)</f>
        <v>100.00000000000009</v>
      </c>
      <c r="C22" s="13">
        <f>SUM(C13:C21)</f>
        <v>100.00000000000001</v>
      </c>
      <c r="E22" s="40" t="s">
        <v>38</v>
      </c>
      <c r="F22" s="41">
        <v>0.6531718418059218</v>
      </c>
      <c r="G22" s="41">
        <v>0.55218581059387806</v>
      </c>
      <c r="H22" s="41">
        <v>0.10098603121204371</v>
      </c>
    </row>
    <row r="23" spans="1:8">
      <c r="A23" s="14"/>
      <c r="B23" s="15"/>
      <c r="C23" s="15"/>
      <c r="E23" s="40" t="s">
        <v>39</v>
      </c>
      <c r="F23" s="41">
        <v>0.58853086174284674</v>
      </c>
      <c r="G23" s="41">
        <v>1.201812568162024</v>
      </c>
      <c r="H23" s="41">
        <v>-0.61328170641917668</v>
      </c>
    </row>
    <row r="24" spans="1:8">
      <c r="E24" s="40" t="s">
        <v>40</v>
      </c>
      <c r="F24" s="41">
        <v>0.76091462544737087</v>
      </c>
      <c r="G24" s="41">
        <v>1.0186550831726831</v>
      </c>
      <c r="H24" s="41">
        <v>-0.25774045772531268</v>
      </c>
    </row>
    <row r="25" spans="1:8" ht="38.25">
      <c r="A25" s="5" t="s">
        <v>41</v>
      </c>
      <c r="B25" s="3" t="s">
        <v>77</v>
      </c>
      <c r="C25" s="3" t="s">
        <v>78</v>
      </c>
    </row>
    <row r="26" spans="1:8">
      <c r="A26" s="6" t="s">
        <v>42</v>
      </c>
      <c r="B26" s="9">
        <v>2.6833987154690329</v>
      </c>
      <c r="C26" s="9">
        <v>3.9873047322250081</v>
      </c>
    </row>
    <row r="27" spans="1:8">
      <c r="A27" s="4" t="s">
        <v>43</v>
      </c>
      <c r="B27" s="9">
        <v>14.21788759841685</v>
      </c>
      <c r="C27" s="12">
        <v>60.610773896481497</v>
      </c>
    </row>
    <row r="28" spans="1:8">
      <c r="A28" s="4" t="s">
        <v>44</v>
      </c>
      <c r="B28" s="9">
        <v>3.8100369690974372</v>
      </c>
      <c r="C28" s="12">
        <v>14.64635549625627</v>
      </c>
    </row>
    <row r="29" spans="1:8">
      <c r="A29" s="4" t="s">
        <v>45</v>
      </c>
      <c r="B29" s="9">
        <v>28.55865962123282</v>
      </c>
      <c r="C29" s="12">
        <v>19.906969237141741</v>
      </c>
    </row>
    <row r="30" spans="1:8">
      <c r="A30" s="4" t="s">
        <v>46</v>
      </c>
      <c r="B30" s="9">
        <v>18.14913665109971</v>
      </c>
      <c r="C30" s="12">
        <v>8.8544064855238303E-2</v>
      </c>
    </row>
    <row r="31" spans="1:8">
      <c r="A31" s="4" t="s">
        <v>47</v>
      </c>
      <c r="B31" s="12">
        <v>14.63649596800496</v>
      </c>
      <c r="C31" s="12">
        <v>0</v>
      </c>
    </row>
    <row r="32" spans="1:8">
      <c r="A32" s="4" t="s">
        <v>48</v>
      </c>
      <c r="B32" s="12">
        <v>4.1279702952677892</v>
      </c>
      <c r="C32" s="12">
        <v>0</v>
      </c>
    </row>
    <row r="33" spans="1:3">
      <c r="A33" s="4" t="s">
        <v>49</v>
      </c>
      <c r="B33" s="12">
        <v>4.689234558758999</v>
      </c>
      <c r="C33" s="12">
        <v>0.76005257304025664</v>
      </c>
    </row>
    <row r="34" spans="1:3">
      <c r="A34" s="4" t="s">
        <v>35</v>
      </c>
      <c r="B34" s="12">
        <v>9.1271796226524913</v>
      </c>
      <c r="C34" s="12">
        <v>0</v>
      </c>
    </row>
    <row r="35" spans="1:3">
      <c r="A35" s="2" t="s">
        <v>37</v>
      </c>
      <c r="B35" s="13">
        <f>SUM(B26:B34)</f>
        <v>100.0000000000001</v>
      </c>
      <c r="C35" s="13">
        <f>SUM(C26:C34)</f>
        <v>100</v>
      </c>
    </row>
    <row r="37" spans="1:3" ht="38.25">
      <c r="A37" s="5" t="s">
        <v>50</v>
      </c>
      <c r="B37" s="3" t="s">
        <v>77</v>
      </c>
      <c r="C37" s="3" t="s">
        <v>78</v>
      </c>
    </row>
    <row r="38" spans="1:3">
      <c r="A38" s="6" t="s">
        <v>51</v>
      </c>
      <c r="B38" s="9">
        <v>14.734889477261619</v>
      </c>
      <c r="C38" s="9">
        <v>59.358837624114869</v>
      </c>
    </row>
    <row r="39" spans="1:3">
      <c r="A39" s="4" t="s">
        <v>52</v>
      </c>
      <c r="B39" s="9">
        <v>1.581588887196089</v>
      </c>
      <c r="C39" s="12">
        <v>5.717657188658996</v>
      </c>
    </row>
    <row r="40" spans="1:3">
      <c r="A40" s="4" t="s">
        <v>53</v>
      </c>
      <c r="B40" s="9">
        <v>9.0908761461798111</v>
      </c>
      <c r="C40" s="12">
        <v>14.901393594878041</v>
      </c>
    </row>
    <row r="41" spans="1:3">
      <c r="A41" s="4" t="s">
        <v>54</v>
      </c>
      <c r="B41" s="9">
        <v>21.585023022974251</v>
      </c>
      <c r="C41" s="12">
        <v>18.270665893844029</v>
      </c>
    </row>
    <row r="42" spans="1:3">
      <c r="A42" s="4" t="s">
        <v>55</v>
      </c>
      <c r="B42" s="9">
        <v>23.271799130857239</v>
      </c>
      <c r="C42" s="12">
        <v>1.103626346374021</v>
      </c>
    </row>
    <row r="43" spans="1:3">
      <c r="A43" s="4" t="s">
        <v>56</v>
      </c>
      <c r="B43" s="12">
        <v>14.44474442732805</v>
      </c>
      <c r="C43" s="12">
        <v>3.257892666328878E-3</v>
      </c>
    </row>
    <row r="44" spans="1:3">
      <c r="A44" s="4" t="s">
        <v>57</v>
      </c>
      <c r="B44" s="12">
        <v>0.99423026270755444</v>
      </c>
      <c r="C44" s="12">
        <v>0</v>
      </c>
    </row>
    <row r="45" spans="1:3">
      <c r="A45" s="4" t="s">
        <v>58</v>
      </c>
      <c r="B45" s="12">
        <v>5.1696690228429816</v>
      </c>
      <c r="C45" s="12">
        <v>0.64456145946372878</v>
      </c>
    </row>
    <row r="46" spans="1:3">
      <c r="A46" s="4" t="s">
        <v>35</v>
      </c>
      <c r="B46" s="12">
        <v>9.1271796226524913</v>
      </c>
      <c r="C46" s="12">
        <v>0</v>
      </c>
    </row>
    <row r="47" spans="1:3">
      <c r="A47" s="2" t="s">
        <v>37</v>
      </c>
      <c r="B47" s="13">
        <f>SUM(B38:B46)</f>
        <v>100.00000000000009</v>
      </c>
      <c r="C47" s="13">
        <f>SUM(C38:C46)</f>
        <v>100</v>
      </c>
    </row>
    <row r="49" spans="1:35" ht="39">
      <c r="Q49" s="16" t="s">
        <v>59</v>
      </c>
      <c r="R49" s="16" t="s">
        <v>77</v>
      </c>
      <c r="S49" s="16" t="s">
        <v>78</v>
      </c>
      <c r="T49" s="17" t="s">
        <v>60</v>
      </c>
      <c r="U49" s="18"/>
      <c r="V49" s="16" t="s">
        <v>59</v>
      </c>
      <c r="W49" s="16" t="s">
        <v>77</v>
      </c>
      <c r="X49" s="16" t="s">
        <v>78</v>
      </c>
      <c r="Y49" s="17" t="s">
        <v>60</v>
      </c>
      <c r="AA49" s="19" t="s">
        <v>61</v>
      </c>
      <c r="AB49" s="16" t="s">
        <v>77</v>
      </c>
      <c r="AC49" s="16" t="s">
        <v>78</v>
      </c>
      <c r="AD49" s="20" t="s">
        <v>60</v>
      </c>
      <c r="AE49" s="21"/>
      <c r="AF49" s="22" t="s">
        <v>62</v>
      </c>
      <c r="AG49" s="16" t="s">
        <v>77</v>
      </c>
      <c r="AH49" s="16" t="s">
        <v>78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16.656241578021888</v>
      </c>
      <c r="C52" s="53">
        <v>54.942303279673943</v>
      </c>
      <c r="D52" s="53">
        <v>-38.286061701652052</v>
      </c>
      <c r="E52" s="53">
        <v>2.0295943293496297</v>
      </c>
      <c r="F52" s="53">
        <v>3.3461519178620609</v>
      </c>
      <c r="G52" s="53">
        <v>-1.3165575885124312</v>
      </c>
      <c r="H52" s="53">
        <v>0.71029490704730824</v>
      </c>
      <c r="I52" s="53">
        <v>-0.31160130163688404</v>
      </c>
      <c r="J52" s="54">
        <v>5.7095503059853101</v>
      </c>
      <c r="K52" s="54">
        <v>0.95099649198360137</v>
      </c>
      <c r="L52" s="54">
        <v>0.46420681879071979</v>
      </c>
      <c r="M52" s="53">
        <v>-0.39256704899962824</v>
      </c>
      <c r="N52" s="53">
        <v>-6.5386916037089654E-2</v>
      </c>
      <c r="O52" s="53">
        <v>-0.18773982290154961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0.36386968755788163</v>
      </c>
      <c r="C53" s="56">
        <v>3.2777395516743675</v>
      </c>
      <c r="D53" s="56">
        <v>-2.913869864116486</v>
      </c>
      <c r="E53" s="56">
        <v>4.5209450223564325E-2</v>
      </c>
      <c r="F53" s="56">
        <v>0.12502361726169364</v>
      </c>
      <c r="G53" s="56">
        <v>-7.9814167038129324E-2</v>
      </c>
      <c r="H53" s="56">
        <v>1.1213378564590421E-2</v>
      </c>
      <c r="I53" s="56">
        <v>-4.5784334317397438E-2</v>
      </c>
      <c r="J53" s="57">
        <v>50.929089417492406</v>
      </c>
      <c r="K53" s="57">
        <v>0.18531551853950379</v>
      </c>
      <c r="L53" s="57">
        <v>-0.36978851044828409</v>
      </c>
      <c r="M53" s="56">
        <v>12.128841466192927</v>
      </c>
      <c r="N53" s="56">
        <v>4.4133177547426995E-2</v>
      </c>
      <c r="O53" s="56">
        <v>-7.8219729317032943E-2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11.851186613904055</v>
      </c>
      <c r="C54" s="56">
        <v>51.664563727999578</v>
      </c>
      <c r="D54" s="56">
        <v>-39.81337711409553</v>
      </c>
      <c r="E54" s="56">
        <v>2.8047002396489602</v>
      </c>
      <c r="F54" s="56">
        <v>3.221128300600367</v>
      </c>
      <c r="G54" s="56">
        <v>-0.41642806095140683</v>
      </c>
      <c r="H54" s="56">
        <v>0.55201041198563949</v>
      </c>
      <c r="I54" s="56">
        <v>-0.41288808381656483</v>
      </c>
      <c r="J54" s="57">
        <v>1.9850038362060425</v>
      </c>
      <c r="K54" s="57">
        <v>0.23524650892193247</v>
      </c>
      <c r="L54" s="57">
        <v>0.3035608647168388</v>
      </c>
      <c r="M54" s="56">
        <v>-0.92412766039837257</v>
      </c>
      <c r="N54" s="56">
        <v>-0.10952009358451664</v>
      </c>
      <c r="O54" s="56">
        <v>-0.10952009358451664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2.1289073855461758</v>
      </c>
      <c r="C55" s="59">
        <v>51.664563727999578</v>
      </c>
      <c r="D55" s="59">
        <v>-49.535656342453407</v>
      </c>
      <c r="E55" s="59">
        <v>0.23096984627079442</v>
      </c>
      <c r="F55" s="59">
        <v>3.221128300600367</v>
      </c>
      <c r="G55" s="59">
        <v>-2.9901584543295727</v>
      </c>
      <c r="H55" s="59">
        <v>5.2199759866497761E-2</v>
      </c>
      <c r="I55" s="59">
        <v>-0.91269873593570661</v>
      </c>
      <c r="J55" s="60">
        <v>1.8746704206682168</v>
      </c>
      <c r="K55" s="60">
        <v>3.9909997040255218E-2</v>
      </c>
      <c r="L55" s="60">
        <v>0.10822435283516153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9.7222792283578787</v>
      </c>
      <c r="C56" s="61" t="s">
        <v>14</v>
      </c>
      <c r="D56" s="59">
        <v>9.7222792283578787</v>
      </c>
      <c r="E56" s="59">
        <v>1.0141147232142251</v>
      </c>
      <c r="F56" s="59" t="s">
        <v>14</v>
      </c>
      <c r="G56" s="59">
        <v>1.0141147232142251</v>
      </c>
      <c r="H56" s="59">
        <v>0.24472614827942657</v>
      </c>
      <c r="I56" s="59">
        <v>0.24472614827942657</v>
      </c>
      <c r="J56" s="60">
        <v>1.9468324928878233</v>
      </c>
      <c r="K56" s="60">
        <v>0.18927649106695477</v>
      </c>
      <c r="L56" s="60">
        <v>0.18927649106695477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1.6704443635206152</v>
      </c>
      <c r="F57" s="59" t="s">
        <v>14</v>
      </c>
      <c r="G57" s="59">
        <v>1.6704443635206152</v>
      </c>
      <c r="H57" s="59">
        <v>0.26962267689375657</v>
      </c>
      <c r="I57" s="59">
        <v>0.26962267689375657</v>
      </c>
      <c r="J57" s="60">
        <v>1.8647923858273342E-2</v>
      </c>
      <c r="K57" s="60">
        <v>3.2117935365253997E-3</v>
      </c>
      <c r="L57" s="60">
        <v>3.2117935365253997E-3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-0.11082869335667449</v>
      </c>
      <c r="F58" s="59" t="s">
        <v>14</v>
      </c>
      <c r="G58" s="59">
        <v>-0.11082869335667449</v>
      </c>
      <c r="H58" s="59">
        <v>-1.4538173054041483E-2</v>
      </c>
      <c r="I58" s="59">
        <v>-1.4538173054041483E-2</v>
      </c>
      <c r="J58" s="60">
        <v>-0.24120295760334901</v>
      </c>
      <c r="K58" s="60">
        <v>2.8482272781970731E-3</v>
      </c>
      <c r="L58" s="60">
        <v>2.8482272781970731E-3</v>
      </c>
      <c r="M58" s="59">
        <v>9.2747410615007748</v>
      </c>
      <c r="N58" s="59">
        <v>-0.10952009358451664</v>
      </c>
      <c r="O58" s="59">
        <v>-0.10952009358451664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109</v>
      </c>
      <c r="B59" s="56">
        <v>0.40260184121393228</v>
      </c>
      <c r="C59" s="62" t="s">
        <v>14</v>
      </c>
      <c r="D59" s="56">
        <v>0.40260184121393228</v>
      </c>
      <c r="E59" s="56">
        <v>5.8972640972884217E-2</v>
      </c>
      <c r="F59" s="56" t="s">
        <v>14</v>
      </c>
      <c r="G59" s="56">
        <v>5.8972640972884217E-2</v>
      </c>
      <c r="H59" s="56">
        <v>1.5579094280628375E-2</v>
      </c>
      <c r="I59" s="56">
        <v>1.5579094280628375E-2</v>
      </c>
      <c r="J59" s="57">
        <v>49.768734061187097</v>
      </c>
      <c r="K59" s="57">
        <v>0.20036983967920469</v>
      </c>
      <c r="L59" s="57">
        <v>0.20036983967920469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8" t="s">
        <v>110</v>
      </c>
      <c r="B60" s="59">
        <v>0.40260184121393228</v>
      </c>
      <c r="C60" s="61" t="s">
        <v>14</v>
      </c>
      <c r="D60" s="59">
        <v>0.40260184121393228</v>
      </c>
      <c r="E60" s="59">
        <v>5.8972640972884217E-2</v>
      </c>
      <c r="F60" s="59" t="s">
        <v>14</v>
      </c>
      <c r="G60" s="59">
        <v>5.8972640972884217E-2</v>
      </c>
      <c r="H60" s="59">
        <v>1.5579094280628375E-2</v>
      </c>
      <c r="I60" s="59">
        <v>1.5579094280628375E-2</v>
      </c>
      <c r="J60" s="60">
        <v>49.768734061187097</v>
      </c>
      <c r="K60" s="60">
        <v>0.20036983967920469</v>
      </c>
      <c r="L60" s="60">
        <v>0.20036983967920469</v>
      </c>
      <c r="M60" s="59" t="s">
        <v>14</v>
      </c>
      <c r="N60" s="59" t="s">
        <v>14</v>
      </c>
      <c r="O60" s="59" t="s">
        <v>14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111</v>
      </c>
      <c r="B61" s="56">
        <v>4.0385834353460215</v>
      </c>
      <c r="C61" s="62" t="s">
        <v>14</v>
      </c>
      <c r="D61" s="56">
        <v>4.0385834353460215</v>
      </c>
      <c r="E61" s="56">
        <v>-0.87928800149577913</v>
      </c>
      <c r="F61" s="56" t="s">
        <v>14</v>
      </c>
      <c r="G61" s="56">
        <v>-0.87928800149577913</v>
      </c>
      <c r="H61" s="56">
        <v>0.13149202221644998</v>
      </c>
      <c r="I61" s="56">
        <v>0.13149202221644998</v>
      </c>
      <c r="J61" s="57">
        <v>8.1727821184578477</v>
      </c>
      <c r="K61" s="57">
        <v>0.3300646248429604</v>
      </c>
      <c r="L61" s="57">
        <v>0.3300646248429604</v>
      </c>
      <c r="M61" s="56" t="s">
        <v>14</v>
      </c>
      <c r="N61" s="56" t="s">
        <v>14</v>
      </c>
      <c r="O61" s="56" t="s">
        <v>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112</v>
      </c>
      <c r="B62" s="64">
        <v>25.915335952293933</v>
      </c>
      <c r="C62" s="67" t="s">
        <v>14</v>
      </c>
      <c r="D62" s="64">
        <v>25.915335952293933</v>
      </c>
      <c r="E62" s="64">
        <v>0.28605622551082471</v>
      </c>
      <c r="F62" s="64" t="s">
        <v>14</v>
      </c>
      <c r="G62" s="64">
        <v>0.28605622551082471</v>
      </c>
      <c r="H62" s="64">
        <v>0.91015975765725576</v>
      </c>
      <c r="I62" s="64">
        <v>0.91015975765725576</v>
      </c>
      <c r="J62" s="65">
        <v>166.33094349910274</v>
      </c>
      <c r="K62" s="65">
        <v>43.105222800412676</v>
      </c>
      <c r="L62" s="65">
        <v>43.105222800412676</v>
      </c>
      <c r="M62" s="64">
        <v>3.7002599212746783</v>
      </c>
      <c r="N62" s="64">
        <v>0.95893478970641999</v>
      </c>
      <c r="O62" s="64">
        <v>0.95893478970641999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113</v>
      </c>
      <c r="B63" s="56">
        <v>3.7331621883533885</v>
      </c>
      <c r="C63" s="62" t="s">
        <v>14</v>
      </c>
      <c r="D63" s="56">
        <v>3.7331621883533885</v>
      </c>
      <c r="E63" s="56">
        <v>0.16149267415919016</v>
      </c>
      <c r="F63" s="56" t="s">
        <v>14</v>
      </c>
      <c r="G63" s="56">
        <v>0.16149267415919016</v>
      </c>
      <c r="H63" s="56">
        <v>0.10792300766181506</v>
      </c>
      <c r="I63" s="56">
        <v>0.10792300766181506</v>
      </c>
      <c r="J63" s="57">
        <v>16.595988661389779</v>
      </c>
      <c r="K63" s="57">
        <v>0.619555173490419</v>
      </c>
      <c r="L63" s="57">
        <v>0.619555173490419</v>
      </c>
      <c r="M63" s="56">
        <v>4.9420767606662528</v>
      </c>
      <c r="N63" s="56">
        <v>0.18449574094859256</v>
      </c>
      <c r="O63" s="56">
        <v>0.18449574094859256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130</v>
      </c>
      <c r="B64" s="56">
        <v>1.7584813077253365</v>
      </c>
      <c r="C64" s="62" t="s">
        <v>14</v>
      </c>
      <c r="D64" s="56">
        <v>1.7584813077253365</v>
      </c>
      <c r="E64" s="56">
        <v>5.8944411276778429E-2</v>
      </c>
      <c r="F64" s="56" t="s">
        <v>14</v>
      </c>
      <c r="G64" s="56">
        <v>5.8944411276778429E-2</v>
      </c>
      <c r="H64" s="56">
        <v>4.2663652020600629E-2</v>
      </c>
      <c r="I64" s="56">
        <v>4.2663652020600629E-2</v>
      </c>
      <c r="J64" s="57">
        <v>31.733616230119459</v>
      </c>
      <c r="K64" s="57">
        <v>0.55802970967194421</v>
      </c>
      <c r="L64" s="57">
        <v>0.55802970967194421</v>
      </c>
      <c r="M64" s="56">
        <v>4.0472390499080682</v>
      </c>
      <c r="N64" s="56">
        <v>7.1169942171593864E-2</v>
      </c>
      <c r="O64" s="56">
        <v>7.1169942171593864E-2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114</v>
      </c>
      <c r="B65" s="56">
        <v>16.538028075876419</v>
      </c>
      <c r="C65" s="62" t="s">
        <v>14</v>
      </c>
      <c r="D65" s="56">
        <v>16.538028075876419</v>
      </c>
      <c r="E65" s="56">
        <v>1.5708999709890287E-2</v>
      </c>
      <c r="F65" s="56" t="s">
        <v>14</v>
      </c>
      <c r="G65" s="56">
        <v>1.5708999709890287E-2</v>
      </c>
      <c r="H65" s="56">
        <v>0.67768018580084111</v>
      </c>
      <c r="I65" s="56">
        <v>0.67768018580084111</v>
      </c>
      <c r="J65" s="57">
        <v>228.53304762698306</v>
      </c>
      <c r="K65" s="57">
        <v>37.794859579206481</v>
      </c>
      <c r="L65" s="57">
        <v>37.794859579206481</v>
      </c>
      <c r="M65" s="56">
        <v>3.9315618230603215</v>
      </c>
      <c r="N65" s="56">
        <v>0.65020279811815485</v>
      </c>
      <c r="O65" s="56">
        <v>0.65020279811815485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115</v>
      </c>
      <c r="B66" s="56">
        <v>1.5617063175619836</v>
      </c>
      <c r="C66" s="62" t="s">
        <v>14</v>
      </c>
      <c r="D66" s="56">
        <v>1.5617063175619836</v>
      </c>
      <c r="E66" s="56">
        <v>3.8901438106217837E-2</v>
      </c>
      <c r="F66" s="56" t="s">
        <v>14</v>
      </c>
      <c r="G66" s="56">
        <v>3.8901438106217837E-2</v>
      </c>
      <c r="H66" s="56">
        <v>5.3571369378391034E-2</v>
      </c>
      <c r="I66" s="56">
        <v>5.3571369378391034E-2</v>
      </c>
      <c r="J66" s="57">
        <v>189.25014108944436</v>
      </c>
      <c r="K66" s="57">
        <v>2.9555314093888199</v>
      </c>
      <c r="L66" s="57">
        <v>2.9555314093888199</v>
      </c>
      <c r="M66" s="56">
        <v>2.4770829648101547</v>
      </c>
      <c r="N66" s="56">
        <v>3.8684761152691878E-2</v>
      </c>
      <c r="O66" s="56">
        <v>3.8684761152691878E-2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116</v>
      </c>
      <c r="B67" s="56">
        <v>2.3239580627768031</v>
      </c>
      <c r="C67" s="62" t="s">
        <v>14</v>
      </c>
      <c r="D67" s="56">
        <v>2.3239580627768031</v>
      </c>
      <c r="E67" s="56">
        <v>1.1008702258747985E-2</v>
      </c>
      <c r="F67" s="56" t="s">
        <v>14</v>
      </c>
      <c r="G67" s="56">
        <v>1.1008702258747985E-2</v>
      </c>
      <c r="H67" s="56">
        <v>2.8321542795607994E-2</v>
      </c>
      <c r="I67" s="56">
        <v>2.8321542795607994E-2</v>
      </c>
      <c r="J67" s="57">
        <v>50.656978174914457</v>
      </c>
      <c r="K67" s="57">
        <v>1.17724692865501</v>
      </c>
      <c r="L67" s="57">
        <v>1.17724692865501</v>
      </c>
      <c r="M67" s="56">
        <v>0.6188385042629756</v>
      </c>
      <c r="N67" s="56">
        <v>1.4381547315386795E-2</v>
      </c>
      <c r="O67" s="56">
        <v>1.4381547315386795E-2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63" t="s">
        <v>119</v>
      </c>
      <c r="B68" s="64">
        <v>27.169786899567622</v>
      </c>
      <c r="C68" s="64">
        <v>45.057696720326</v>
      </c>
      <c r="D68" s="64">
        <v>-17.887909820758381</v>
      </c>
      <c r="E68" s="64">
        <v>2.2894488709753413</v>
      </c>
      <c r="F68" s="64">
        <v>3.2506241073162867</v>
      </c>
      <c r="G68" s="64">
        <v>-0.96117523634094537</v>
      </c>
      <c r="H68" s="64">
        <v>1.0822221948332691</v>
      </c>
      <c r="I68" s="64">
        <v>-0.35031012621434199</v>
      </c>
      <c r="J68" s="65">
        <v>170.39675241049252</v>
      </c>
      <c r="K68" s="65">
        <v>46.296434513714686</v>
      </c>
      <c r="L68" s="65">
        <v>-3.5112373145371336</v>
      </c>
      <c r="M68" s="64">
        <v>8.1370044467694775</v>
      </c>
      <c r="N68" s="64">
        <v>2.2108067681956087</v>
      </c>
      <c r="O68" s="64">
        <v>-0.94550459997096459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5" t="s">
        <v>120</v>
      </c>
      <c r="B69" s="56">
        <v>26.899295011215951</v>
      </c>
      <c r="C69" s="56">
        <v>37.072221148162015</v>
      </c>
      <c r="D69" s="56">
        <v>-10.172926136946064</v>
      </c>
      <c r="E69" s="56">
        <v>2.2655842605913601</v>
      </c>
      <c r="F69" s="56">
        <v>2.7673174722657254</v>
      </c>
      <c r="G69" s="56">
        <v>-0.50173321167436535</v>
      </c>
      <c r="H69" s="56">
        <v>1.0744802539479397</v>
      </c>
      <c r="I69" s="56">
        <v>-0.13583464840627291</v>
      </c>
      <c r="J69" s="57">
        <v>171.63647273110939</v>
      </c>
      <c r="K69" s="57">
        <v>46.169001146786343</v>
      </c>
      <c r="L69" s="57">
        <v>3.2913317080010529</v>
      </c>
      <c r="M69" s="56">
        <v>8.131888237969731</v>
      </c>
      <c r="N69" s="56">
        <v>2.1874206071138489</v>
      </c>
      <c r="O69" s="56">
        <v>-0.49890022175451776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8" t="s">
        <v>121</v>
      </c>
      <c r="B70" s="59">
        <v>8.1244250052142242</v>
      </c>
      <c r="C70" s="59">
        <v>11.781284335434114</v>
      </c>
      <c r="D70" s="59">
        <v>-3.65685933021989</v>
      </c>
      <c r="E70" s="59">
        <v>0.56751409096067196</v>
      </c>
      <c r="F70" s="59">
        <v>0.70321317173429776</v>
      </c>
      <c r="G70" s="59">
        <v>-0.1356990807736258</v>
      </c>
      <c r="H70" s="59">
        <v>0.28730027010789305</v>
      </c>
      <c r="I70" s="59">
        <v>-7.1786895180218635E-2</v>
      </c>
      <c r="J70" s="60">
        <v>141.37478062416437</v>
      </c>
      <c r="K70" s="60">
        <v>11.485888028096369</v>
      </c>
      <c r="L70" s="60">
        <v>-1.610450089781045</v>
      </c>
      <c r="M70" s="59">
        <v>6.7923179710683153</v>
      </c>
      <c r="N70" s="59">
        <v>0.55183677967513367</v>
      </c>
      <c r="O70" s="59">
        <v>-0.13587086042550267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8" t="s">
        <v>122</v>
      </c>
      <c r="B71" s="59">
        <v>18.139344104004802</v>
      </c>
      <c r="C71" s="59">
        <v>22.441051727496323</v>
      </c>
      <c r="D71" s="59">
        <v>-4.301707623491521</v>
      </c>
      <c r="E71" s="59">
        <v>1.6582288621802077</v>
      </c>
      <c r="F71" s="59">
        <v>1.7893427023944908</v>
      </c>
      <c r="G71" s="59">
        <v>-0.13111384021428307</v>
      </c>
      <c r="H71" s="59">
        <v>0.75518752070362438</v>
      </c>
      <c r="I71" s="59">
        <v>2.1491129027402245E-3</v>
      </c>
      <c r="J71" s="60">
        <v>181.41555752015537</v>
      </c>
      <c r="K71" s="60">
        <v>32.907592236779742</v>
      </c>
      <c r="L71" s="60">
        <v>6.3317909723800625</v>
      </c>
      <c r="M71" s="59">
        <v>8.8009416751685308</v>
      </c>
      <c r="N71" s="59">
        <v>1.5964330948515844</v>
      </c>
      <c r="O71" s="59">
        <v>-0.13682494833612346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58" t="s">
        <v>123</v>
      </c>
      <c r="B72" s="59">
        <v>0.63552590199692449</v>
      </c>
      <c r="C72" s="59">
        <v>2.8498850852315782</v>
      </c>
      <c r="D72" s="59">
        <v>-2.2143591832346536</v>
      </c>
      <c r="E72" s="59">
        <v>3.9841307450480833E-2</v>
      </c>
      <c r="F72" s="59">
        <v>0.27476159813693707</v>
      </c>
      <c r="G72" s="59">
        <v>-0.23492029068645623</v>
      </c>
      <c r="H72" s="59">
        <v>3.1992463136422039E-2</v>
      </c>
      <c r="I72" s="59">
        <v>-6.6196866128794593E-2</v>
      </c>
      <c r="J72" s="60">
        <v>279.37820887099383</v>
      </c>
      <c r="K72" s="60">
        <v>1.7755208819102357</v>
      </c>
      <c r="L72" s="60">
        <v>-1.4300091745979588</v>
      </c>
      <c r="M72" s="59">
        <v>6.1603677307428404</v>
      </c>
      <c r="N72" s="59">
        <v>3.9150732587130907E-2</v>
      </c>
      <c r="O72" s="59">
        <v>-0.22620441299289196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55" t="s">
        <v>124</v>
      </c>
      <c r="B73" s="56">
        <v>0.2704918883516727</v>
      </c>
      <c r="C73" s="56">
        <v>7.985475572163983</v>
      </c>
      <c r="D73" s="56">
        <v>-7.71498368381231</v>
      </c>
      <c r="E73" s="56">
        <v>2.3864610383981404E-2</v>
      </c>
      <c r="F73" s="56">
        <v>0.48330663505056137</v>
      </c>
      <c r="G73" s="56">
        <v>-0.45944202466657996</v>
      </c>
      <c r="H73" s="56">
        <v>7.7419408853293516E-3</v>
      </c>
      <c r="I73" s="56">
        <v>-0.21447547780806911</v>
      </c>
      <c r="J73" s="57">
        <v>47.111714774478394</v>
      </c>
      <c r="K73" s="57">
        <v>0.12743336692834059</v>
      </c>
      <c r="L73" s="57">
        <v>-6.8025690225381892</v>
      </c>
      <c r="M73" s="56">
        <v>8.6457901655649767</v>
      </c>
      <c r="N73" s="56">
        <v>2.3386161081759914E-2</v>
      </c>
      <c r="O73" s="56">
        <v>-0.44660437821644694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125</v>
      </c>
      <c r="B74" s="64">
        <v>17.058911893649626</v>
      </c>
      <c r="C74" s="67" t="s">
        <v>14</v>
      </c>
      <c r="D74" s="64">
        <v>17.058911893649626</v>
      </c>
      <c r="E74" s="64">
        <v>0.74776719080893761</v>
      </c>
      <c r="F74" s="64" t="s">
        <v>14</v>
      </c>
      <c r="G74" s="64">
        <v>0.74776719080893761</v>
      </c>
      <c r="H74" s="64">
        <v>0.8111601103445415</v>
      </c>
      <c r="I74" s="64">
        <v>0.8111601103445415</v>
      </c>
      <c r="J74" s="65">
        <v>278.8155356561104</v>
      </c>
      <c r="K74" s="65">
        <v>47.562896573383142</v>
      </c>
      <c r="L74" s="65">
        <v>47.562896573383142</v>
      </c>
      <c r="M74" s="64">
        <v>4.17738477891844</v>
      </c>
      <c r="N74" s="64">
        <v>0.71261638889442702</v>
      </c>
      <c r="O74" s="64">
        <v>0.71261638889442702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131</v>
      </c>
      <c r="B75" s="64">
        <v>-0.56949152395523639</v>
      </c>
      <c r="C75" s="67" t="s">
        <v>14</v>
      </c>
      <c r="D75" s="64">
        <v>-0.56949152395523639</v>
      </c>
      <c r="E75" s="64">
        <v>-8.3850865091430714E-3</v>
      </c>
      <c r="F75" s="64" t="s">
        <v>14</v>
      </c>
      <c r="G75" s="64">
        <v>-8.3850865091430714E-3</v>
      </c>
      <c r="H75" s="64" t="s">
        <v>14</v>
      </c>
      <c r="I75" s="64" t="s">
        <v>14</v>
      </c>
      <c r="J75" s="65">
        <v>3365.849127698511</v>
      </c>
      <c r="K75" s="65">
        <v>-19.168225491364279</v>
      </c>
      <c r="L75" s="65">
        <v>-19.168225491364279</v>
      </c>
      <c r="M75" s="64">
        <v>44.60175101186087</v>
      </c>
      <c r="N75" s="64">
        <v>-0.25400319154816653</v>
      </c>
      <c r="O75" s="64">
        <v>-0.25400319154816653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3" t="s">
        <v>126</v>
      </c>
      <c r="B76" s="64">
        <v>6.0351487837859867</v>
      </c>
      <c r="C76" s="67" t="s">
        <v>14</v>
      </c>
      <c r="D76" s="64">
        <v>6.0351487837859867</v>
      </c>
      <c r="E76" s="64">
        <v>1.5087871959464967E-2</v>
      </c>
      <c r="F76" s="64" t="s">
        <v>14</v>
      </c>
      <c r="G76" s="64">
        <v>1.5087871959464967E-2</v>
      </c>
      <c r="H76" s="64">
        <v>0.21708669527158989</v>
      </c>
      <c r="I76" s="64">
        <v>0.21708669527158989</v>
      </c>
      <c r="J76" s="65">
        <v>273.67098520451424</v>
      </c>
      <c r="K76" s="65">
        <v>16.516451135145367</v>
      </c>
      <c r="L76" s="65">
        <v>16.516451135145367</v>
      </c>
      <c r="M76" s="64">
        <v>5.5216060498283071</v>
      </c>
      <c r="N76" s="64">
        <v>0.33323714036166668</v>
      </c>
      <c r="O76" s="64">
        <v>0.33323714036166668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77" s="63" t="s">
        <v>127</v>
      </c>
      <c r="B77" s="64">
        <v>3.5752996060293598</v>
      </c>
      <c r="C77" s="67" t="s">
        <v>14</v>
      </c>
      <c r="D77" s="64">
        <v>3.5752996060293598</v>
      </c>
      <c r="E77" s="64">
        <v>0.24189327941566502</v>
      </c>
      <c r="F77" s="64" t="s">
        <v>14</v>
      </c>
      <c r="G77" s="64">
        <v>0.24189327941566502</v>
      </c>
      <c r="H77" s="64">
        <v>0.17123526409699338</v>
      </c>
      <c r="I77" s="64">
        <v>0.17123526409699338</v>
      </c>
      <c r="J77" s="65">
        <v>262.56211518005705</v>
      </c>
      <c r="K77" s="65">
        <v>9.3873822696149283</v>
      </c>
      <c r="L77" s="65">
        <v>9.3873822696149283</v>
      </c>
      <c r="M77" s="64">
        <v>6.5983066018224195</v>
      </c>
      <c r="N77" s="64">
        <v>0.2359092299395662</v>
      </c>
      <c r="O77" s="64">
        <v>0.2359092299395662</v>
      </c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78" s="63" t="s">
        <v>128</v>
      </c>
      <c r="B78" s="64">
        <v>9.1271796226524895</v>
      </c>
      <c r="C78" s="67" t="s">
        <v>14</v>
      </c>
      <c r="D78" s="64">
        <v>9.1271796226524895</v>
      </c>
      <c r="E78" s="64">
        <v>7.6267969315541265E-5</v>
      </c>
      <c r="F78" s="64" t="s">
        <v>14</v>
      </c>
      <c r="G78" s="64">
        <v>7.6267969315541265E-5</v>
      </c>
      <c r="H78" s="64">
        <v>5.8471985544024704E-2</v>
      </c>
      <c r="I78" s="64">
        <v>5.8471985544024704E-2</v>
      </c>
      <c r="J78" s="65">
        <v>8.1734862817198499E-4</v>
      </c>
      <c r="K78" s="65">
        <v>7.4600877436543071E-5</v>
      </c>
      <c r="L78" s="65">
        <v>7.4600877436543071E-5</v>
      </c>
      <c r="M78" s="64">
        <v>8.1734862817198499E-4</v>
      </c>
      <c r="N78" s="64">
        <v>7.4600877436543071E-5</v>
      </c>
      <c r="O78" s="64">
        <v>7.4600877436543071E-5</v>
      </c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79" s="63" t="s">
        <v>129</v>
      </c>
      <c r="B79" s="64">
        <v>-4.9684128120455746</v>
      </c>
      <c r="C79" s="67" t="s">
        <v>14</v>
      </c>
      <c r="D79" s="64">
        <v>-4.9684128120455746</v>
      </c>
      <c r="E79" s="64">
        <v>-4.9684128120455733E-5</v>
      </c>
      <c r="F79" s="64" t="s">
        <v>14</v>
      </c>
      <c r="G79" s="64">
        <v>-4.9684128120455733E-5</v>
      </c>
      <c r="H79" s="64">
        <v>-3.4561857471102922E-2</v>
      </c>
      <c r="I79" s="64">
        <v>-3.4561857471102922E-2</v>
      </c>
      <c r="J79" s="65">
        <v>1.0000000000000005E-3</v>
      </c>
      <c r="K79" s="65">
        <v>-4.9684128120455733E-5</v>
      </c>
      <c r="L79" s="65">
        <v>-4.9684128120455733E-5</v>
      </c>
      <c r="M79" s="64">
        <v>1.0000000000000005E-3</v>
      </c>
      <c r="N79" s="64">
        <v>-4.9684128120455733E-5</v>
      </c>
      <c r="O79" s="64">
        <v>-4.9684128120455733E-5</v>
      </c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>
      <c r="A80" s="68" t="s">
        <v>37</v>
      </c>
      <c r="B80" s="69">
        <v>100.00000000000009</v>
      </c>
      <c r="C80" s="69">
        <v>99.999999999999943</v>
      </c>
      <c r="D80" s="69">
        <v>1.4432899320127035E-13</v>
      </c>
      <c r="E80" s="69">
        <v>5.6014892653519146</v>
      </c>
      <c r="F80" s="69">
        <v>6.5967760251783476</v>
      </c>
      <c r="G80" s="69">
        <v>-0.995286759826433</v>
      </c>
      <c r="H80" s="69">
        <v>3.926069057323879</v>
      </c>
      <c r="I80" s="69">
        <v>1.4716405275920756</v>
      </c>
      <c r="J80" s="70">
        <v>144.65118320963927</v>
      </c>
      <c r="K80" s="70">
        <v>144.65118320963944</v>
      </c>
      <c r="L80" s="70">
        <v>94.35672170819474</v>
      </c>
      <c r="M80" s="69">
        <v>4.1321391262617446</v>
      </c>
      <c r="N80" s="69">
        <v>4.1321391262617482</v>
      </c>
      <c r="O80" s="69">
        <v>0.85347485123071509</v>
      </c>
    </row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38.25">
      <c r="A1" s="2" t="s">
        <v>0</v>
      </c>
      <c r="B1" s="3" t="s">
        <v>80</v>
      </c>
      <c r="C1" s="3" t="s">
        <v>2</v>
      </c>
    </row>
    <row r="2" spans="1:8">
      <c r="A2" s="4" t="s">
        <v>3</v>
      </c>
      <c r="B2" s="9">
        <v>5.1179670997615698</v>
      </c>
      <c r="C2" s="9">
        <v>6.0434449650283382</v>
      </c>
    </row>
    <row r="3" spans="1:8">
      <c r="A3" s="4" t="s">
        <v>4</v>
      </c>
      <c r="B3" s="10">
        <v>193.46430653725989</v>
      </c>
      <c r="C3" s="10">
        <v>42.432274306040327</v>
      </c>
    </row>
    <row r="4" spans="1:8">
      <c r="A4" s="4" t="s">
        <v>5</v>
      </c>
      <c r="B4" s="9">
        <v>5.1775820064781897</v>
      </c>
      <c r="C4" s="9">
        <v>3.91533858376151</v>
      </c>
    </row>
    <row r="5" spans="1:8">
      <c r="A5" s="4" t="s">
        <v>6</v>
      </c>
      <c r="B5" s="9">
        <v>9.4434450119404492</v>
      </c>
      <c r="C5" s="9">
        <v>8.0974581706531179</v>
      </c>
    </row>
    <row r="6" spans="1:8">
      <c r="A6" s="4" t="s">
        <v>7</v>
      </c>
      <c r="B6" s="9">
        <v>4.3899523331067147</v>
      </c>
      <c r="C6" s="9">
        <v>2.5663455010456468</v>
      </c>
    </row>
    <row r="7" spans="1:8">
      <c r="A7" s="4" t="s">
        <v>8</v>
      </c>
      <c r="B7" s="9">
        <v>4.3125979054298389</v>
      </c>
      <c r="C7" s="9">
        <v>2.5625300304363958</v>
      </c>
    </row>
    <row r="8" spans="1:8">
      <c r="A8" s="4" t="s">
        <v>9</v>
      </c>
      <c r="B8" s="9">
        <v>3.1637900587616499</v>
      </c>
      <c r="C8" s="9">
        <v>3.0752740867931978</v>
      </c>
    </row>
    <row r="9" spans="1:8">
      <c r="A9" s="4" t="s">
        <v>10</v>
      </c>
      <c r="B9" s="9" t="s">
        <v>11</v>
      </c>
      <c r="C9" s="9" t="s">
        <v>12</v>
      </c>
    </row>
    <row r="10" spans="1:8">
      <c r="A10" s="4" t="s">
        <v>13</v>
      </c>
      <c r="B10" s="39">
        <v>296730245.76952511</v>
      </c>
      <c r="C10" s="7" t="s">
        <v>14</v>
      </c>
    </row>
    <row r="11" spans="1:8">
      <c r="B11" s="1"/>
    </row>
    <row r="12" spans="1:8" ht="38.25">
      <c r="A12" s="5" t="s">
        <v>15</v>
      </c>
      <c r="B12" s="3" t="s">
        <v>80</v>
      </c>
      <c r="C12" s="3" t="s">
        <v>2</v>
      </c>
    </row>
    <row r="13" spans="1:8">
      <c r="A13" s="6" t="s">
        <v>16</v>
      </c>
      <c r="B13" s="9">
        <v>26.47695064930636</v>
      </c>
      <c r="C13" s="9">
        <v>71.440060046559694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1.541041999628098</v>
      </c>
      <c r="C14" s="12">
        <v>4.1253122696163249</v>
      </c>
      <c r="E14" s="40" t="s">
        <v>22</v>
      </c>
      <c r="F14" s="41">
        <v>5.0795471021819069E-2</v>
      </c>
      <c r="G14" s="41">
        <v>2.3062687079547731E-2</v>
      </c>
      <c r="H14" s="41">
        <v>2.7732783942271341E-2</v>
      </c>
    </row>
    <row r="15" spans="1:8">
      <c r="A15" s="4" t="s">
        <v>23</v>
      </c>
      <c r="B15" s="9">
        <v>4.8072710386355766</v>
      </c>
      <c r="C15" s="12">
        <v>10.661300686190611</v>
      </c>
      <c r="E15" s="40" t="s">
        <v>24</v>
      </c>
      <c r="F15" s="41">
        <v>7.4572071549368402E-2</v>
      </c>
      <c r="G15" s="41">
        <v>0.1202014998773106</v>
      </c>
      <c r="H15" s="41">
        <v>-4.5629428327942229E-2</v>
      </c>
    </row>
    <row r="16" spans="1:8">
      <c r="A16" s="4" t="s">
        <v>25</v>
      </c>
      <c r="B16" s="9">
        <v>22.848954725973901</v>
      </c>
      <c r="C16" s="12">
        <v>13.76354947266155</v>
      </c>
      <c r="E16" s="40" t="s">
        <v>26</v>
      </c>
      <c r="F16" s="41">
        <v>0.1388024128017423</v>
      </c>
      <c r="G16" s="41">
        <v>0.28423582329611569</v>
      </c>
      <c r="H16" s="41">
        <v>-0.14543341049437339</v>
      </c>
    </row>
    <row r="17" spans="1:8">
      <c r="A17" s="4" t="s">
        <v>27</v>
      </c>
      <c r="B17" s="9">
        <v>13.001838703710421</v>
      </c>
      <c r="C17" s="12">
        <v>0</v>
      </c>
      <c r="E17" s="40" t="s">
        <v>28</v>
      </c>
      <c r="F17" s="41">
        <v>0.30305263584535452</v>
      </c>
      <c r="G17" s="41">
        <v>0.5519978313313878</v>
      </c>
      <c r="H17" s="41">
        <v>-0.2489451954860333</v>
      </c>
    </row>
    <row r="18" spans="1:8">
      <c r="A18" s="4" t="s">
        <v>29</v>
      </c>
      <c r="B18" s="12">
        <v>18.64343856240367</v>
      </c>
      <c r="C18" s="12">
        <v>0</v>
      </c>
      <c r="E18" s="40" t="s">
        <v>30</v>
      </c>
      <c r="F18" s="41">
        <v>0.442300590155635</v>
      </c>
      <c r="G18" s="41">
        <v>0.79566777171943126</v>
      </c>
      <c r="H18" s="41">
        <v>-0.35336718156379621</v>
      </c>
    </row>
    <row r="19" spans="1:8">
      <c r="A19" s="4" t="s">
        <v>31</v>
      </c>
      <c r="B19" s="12">
        <v>3.9188364828668441</v>
      </c>
      <c r="C19" s="12">
        <v>0</v>
      </c>
      <c r="E19" s="40" t="s">
        <v>32</v>
      </c>
      <c r="F19" s="41">
        <v>0.5756716516679532</v>
      </c>
      <c r="G19" s="41">
        <v>0.89059970641539099</v>
      </c>
      <c r="H19" s="41">
        <v>-0.31492805474743779</v>
      </c>
    </row>
    <row r="20" spans="1:8">
      <c r="A20" s="4" t="s">
        <v>33</v>
      </c>
      <c r="B20" s="12">
        <v>8.1776605173318817</v>
      </c>
      <c r="C20" s="12">
        <v>9.7775249720791092E-3</v>
      </c>
      <c r="E20" s="40" t="s">
        <v>34</v>
      </c>
      <c r="F20" s="41">
        <v>1.395140407395129</v>
      </c>
      <c r="G20" s="41">
        <v>0.76652644917813184</v>
      </c>
      <c r="H20" s="41">
        <v>0.62861395821699739</v>
      </c>
    </row>
    <row r="21" spans="1:8">
      <c r="A21" s="4" t="s">
        <v>35</v>
      </c>
      <c r="B21" s="12">
        <v>0.58400732014330958</v>
      </c>
      <c r="C21" s="12">
        <v>0</v>
      </c>
      <c r="E21" s="40" t="s">
        <v>36</v>
      </c>
      <c r="F21" s="41">
        <v>0.49410603648418128</v>
      </c>
      <c r="G21" s="41">
        <v>0.44217004280291611</v>
      </c>
      <c r="H21" s="41">
        <v>5.1935993681265218E-2</v>
      </c>
    </row>
    <row r="22" spans="1:8">
      <c r="A22" s="2" t="s">
        <v>37</v>
      </c>
      <c r="B22" s="13">
        <f>SUM(B13:B21)</f>
        <v>100.00000000000007</v>
      </c>
      <c r="C22" s="13">
        <f>SUM(C13:C21)</f>
        <v>100.00000000000027</v>
      </c>
      <c r="E22" s="40" t="s">
        <v>38</v>
      </c>
      <c r="F22" s="41">
        <v>0.55293589674359378</v>
      </c>
      <c r="G22" s="41">
        <v>0.57934744814972738</v>
      </c>
      <c r="H22" s="41">
        <v>-2.6411551406133379E-2</v>
      </c>
    </row>
    <row r="23" spans="1:8">
      <c r="A23" s="14"/>
      <c r="B23" s="15"/>
      <c r="C23" s="15"/>
      <c r="E23" s="40" t="s">
        <v>39</v>
      </c>
      <c r="F23" s="41">
        <v>0.46296220640832408</v>
      </c>
      <c r="G23" s="41">
        <v>0.92667732280286019</v>
      </c>
      <c r="H23" s="41">
        <v>-0.46371511639453622</v>
      </c>
    </row>
    <row r="24" spans="1:8">
      <c r="E24" s="40" t="s">
        <v>40</v>
      </c>
      <c r="F24" s="41">
        <v>0.62710298321257807</v>
      </c>
      <c r="G24" s="41">
        <v>0.66103963404342714</v>
      </c>
      <c r="H24" s="41">
        <v>-3.3936650830849069E-2</v>
      </c>
    </row>
    <row r="25" spans="1:8" ht="38.25">
      <c r="A25" s="5" t="s">
        <v>41</v>
      </c>
      <c r="B25" s="3" t="s">
        <v>80</v>
      </c>
      <c r="C25" s="3" t="s">
        <v>2</v>
      </c>
    </row>
    <row r="26" spans="1:8">
      <c r="A26" s="6" t="s">
        <v>42</v>
      </c>
      <c r="B26" s="9">
        <v>3.013801454603529</v>
      </c>
      <c r="C26" s="9">
        <v>3.199347716368997</v>
      </c>
    </row>
    <row r="27" spans="1:8">
      <c r="A27" s="4" t="s">
        <v>43</v>
      </c>
      <c r="B27" s="9">
        <v>23.48022477880993</v>
      </c>
      <c r="C27" s="12">
        <v>71.000261793227509</v>
      </c>
    </row>
    <row r="28" spans="1:8">
      <c r="A28" s="4" t="s">
        <v>44</v>
      </c>
      <c r="B28" s="9">
        <v>3.7366366588622428</v>
      </c>
      <c r="C28" s="12">
        <v>10.21860298394733</v>
      </c>
    </row>
    <row r="29" spans="1:8">
      <c r="A29" s="4" t="s">
        <v>45</v>
      </c>
      <c r="B29" s="9">
        <v>20.17702442005131</v>
      </c>
      <c r="C29" s="12">
        <v>13.874627472551669</v>
      </c>
    </row>
    <row r="30" spans="1:8">
      <c r="A30" s="4" t="s">
        <v>46</v>
      </c>
      <c r="B30" s="9">
        <v>10.73931323221524</v>
      </c>
      <c r="C30" s="12">
        <v>6.1691987088617548E-2</v>
      </c>
    </row>
    <row r="31" spans="1:8">
      <c r="A31" s="4" t="s">
        <v>47</v>
      </c>
      <c r="B31" s="12">
        <v>20.696491947215989</v>
      </c>
      <c r="C31" s="12">
        <v>0</v>
      </c>
    </row>
    <row r="32" spans="1:8">
      <c r="A32" s="4" t="s">
        <v>48</v>
      </c>
      <c r="B32" s="12">
        <v>4.7343369103563706</v>
      </c>
      <c r="C32" s="12">
        <v>0</v>
      </c>
    </row>
    <row r="33" spans="1:3">
      <c r="A33" s="4" t="s">
        <v>49</v>
      </c>
      <c r="B33" s="12">
        <v>12.83816327774214</v>
      </c>
      <c r="C33" s="12">
        <v>1.645468046816096</v>
      </c>
    </row>
    <row r="34" spans="1:3">
      <c r="A34" s="4" t="s">
        <v>35</v>
      </c>
      <c r="B34" s="12">
        <v>0.58400732014330958</v>
      </c>
      <c r="C34" s="12">
        <v>0</v>
      </c>
    </row>
    <row r="35" spans="1:3">
      <c r="A35" s="2" t="s">
        <v>37</v>
      </c>
      <c r="B35" s="13">
        <f>SUM(B26:B34)</f>
        <v>100.00000000000007</v>
      </c>
      <c r="C35" s="13">
        <f>SUM(C26:C34)</f>
        <v>100.00000000000021</v>
      </c>
    </row>
    <row r="37" spans="1:3" ht="38.25">
      <c r="A37" s="5" t="s">
        <v>50</v>
      </c>
      <c r="B37" s="3" t="s">
        <v>80</v>
      </c>
      <c r="C37" s="3" t="s">
        <v>2</v>
      </c>
    </row>
    <row r="38" spans="1:3">
      <c r="A38" s="6" t="s">
        <v>51</v>
      </c>
      <c r="B38" s="9">
        <v>24.421796036653031</v>
      </c>
      <c r="C38" s="9">
        <v>71.283055386579846</v>
      </c>
    </row>
    <row r="39" spans="1:3">
      <c r="A39" s="4" t="s">
        <v>52</v>
      </c>
      <c r="B39" s="9">
        <v>1.1374743318342391</v>
      </c>
      <c r="C39" s="12">
        <v>4.072754513591736</v>
      </c>
    </row>
    <row r="40" spans="1:3">
      <c r="A40" s="4" t="s">
        <v>53</v>
      </c>
      <c r="B40" s="9">
        <v>6.9438463654683984</v>
      </c>
      <c r="C40" s="12">
        <v>10.40802726027604</v>
      </c>
    </row>
    <row r="41" spans="1:3">
      <c r="A41" s="4" t="s">
        <v>54</v>
      </c>
      <c r="B41" s="9">
        <v>18.872517937949819</v>
      </c>
      <c r="C41" s="12">
        <v>12.73356413605055</v>
      </c>
    </row>
    <row r="42" spans="1:3">
      <c r="A42" s="4" t="s">
        <v>55</v>
      </c>
      <c r="B42" s="9">
        <v>16.444248354549689</v>
      </c>
      <c r="C42" s="12">
        <v>0.76893806967725031</v>
      </c>
    </row>
    <row r="43" spans="1:3">
      <c r="A43" s="4" t="s">
        <v>56</v>
      </c>
      <c r="B43" s="12">
        <v>18.846921916860239</v>
      </c>
      <c r="C43" s="12">
        <v>2.2698966061232501E-3</v>
      </c>
    </row>
    <row r="44" spans="1:3">
      <c r="A44" s="4" t="s">
        <v>57</v>
      </c>
      <c r="B44" s="12">
        <v>0.22008093089951869</v>
      </c>
      <c r="C44" s="12">
        <v>0</v>
      </c>
    </row>
    <row r="45" spans="1:3">
      <c r="A45" s="4" t="s">
        <v>58</v>
      </c>
      <c r="B45" s="12">
        <v>12.52910680564182</v>
      </c>
      <c r="C45" s="12">
        <v>0.73139073721869541</v>
      </c>
    </row>
    <row r="46" spans="1:3">
      <c r="A46" s="4" t="s">
        <v>35</v>
      </c>
      <c r="B46" s="12">
        <v>0.58400732014330958</v>
      </c>
      <c r="C46" s="12">
        <v>0</v>
      </c>
    </row>
    <row r="47" spans="1:3">
      <c r="A47" s="2" t="s">
        <v>37</v>
      </c>
      <c r="B47" s="13">
        <f>SUM(B38:B46)</f>
        <v>100.00000000000006</v>
      </c>
      <c r="C47" s="13">
        <f>SUM(C38:C46)</f>
        <v>100.00000000000023</v>
      </c>
    </row>
    <row r="49" spans="1:35" ht="39">
      <c r="Q49" s="16" t="s">
        <v>59</v>
      </c>
      <c r="R49" s="16" t="s">
        <v>80</v>
      </c>
      <c r="S49" s="16" t="s">
        <v>2</v>
      </c>
      <c r="T49" s="17" t="s">
        <v>60</v>
      </c>
      <c r="U49" s="18"/>
      <c r="V49" s="16" t="s">
        <v>59</v>
      </c>
      <c r="W49" s="16" t="s">
        <v>80</v>
      </c>
      <c r="X49" s="16" t="s">
        <v>2</v>
      </c>
      <c r="Y49" s="17" t="s">
        <v>60</v>
      </c>
      <c r="AA49" s="19" t="s">
        <v>61</v>
      </c>
      <c r="AB49" s="16" t="s">
        <v>80</v>
      </c>
      <c r="AC49" s="16" t="s">
        <v>2</v>
      </c>
      <c r="AD49" s="20" t="s">
        <v>60</v>
      </c>
      <c r="AE49" s="21"/>
      <c r="AF49" s="22" t="s">
        <v>62</v>
      </c>
      <c r="AG49" s="16" t="s">
        <v>80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21.153015596842291</v>
      </c>
      <c r="C52" s="53">
        <v>38.280373394762115</v>
      </c>
      <c r="D52" s="53">
        <v>-17.127357797919821</v>
      </c>
      <c r="E52" s="53">
        <v>0.8522248425224429</v>
      </c>
      <c r="F52" s="53">
        <v>2.3313901530361769</v>
      </c>
      <c r="G52" s="53">
        <v>-1.4791653105137339</v>
      </c>
      <c r="H52" s="53">
        <v>0.51360959333754208</v>
      </c>
      <c r="I52" s="53">
        <v>-0.19838400911477139</v>
      </c>
      <c r="J52" s="54">
        <v>4.0139612433838581</v>
      </c>
      <c r="K52" s="54">
        <v>0.84907384786419249</v>
      </c>
      <c r="L52" s="54">
        <v>0.50990913611772382</v>
      </c>
      <c r="M52" s="53">
        <v>-0.31729037282728312</v>
      </c>
      <c r="N52" s="53">
        <v>-6.7116482051434251E-2</v>
      </c>
      <c r="O52" s="53">
        <v>-0.15236436357661276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0.34650643628644828</v>
      </c>
      <c r="C53" s="56">
        <v>2.2837246791452555</v>
      </c>
      <c r="D53" s="56">
        <v>-1.9372182428588074</v>
      </c>
      <c r="E53" s="56">
        <v>4.3052131076307142E-2</v>
      </c>
      <c r="F53" s="56">
        <v>8.7108666114331268E-2</v>
      </c>
      <c r="G53" s="56">
        <v>-4.4056535038024126E-2</v>
      </c>
      <c r="H53" s="56">
        <v>1.0678294944612548E-2</v>
      </c>
      <c r="I53" s="56">
        <v>-2.9034159785641375E-2</v>
      </c>
      <c r="J53" s="57">
        <v>50.929089417492406</v>
      </c>
      <c r="K53" s="57">
        <v>0.1764725727736916</v>
      </c>
      <c r="L53" s="57">
        <v>-0.21028932532916178</v>
      </c>
      <c r="M53" s="56">
        <v>12.128841466192927</v>
      </c>
      <c r="N53" s="56">
        <v>4.2027216327338114E-2</v>
      </c>
      <c r="O53" s="56">
        <v>-4.3220665197840395E-2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16.953394622872651</v>
      </c>
      <c r="C54" s="56">
        <v>35.996648715616857</v>
      </c>
      <c r="D54" s="56">
        <v>-19.043254092744206</v>
      </c>
      <c r="E54" s="56">
        <v>1.6276977783031237</v>
      </c>
      <c r="F54" s="56">
        <v>2.2442814869218455</v>
      </c>
      <c r="G54" s="56">
        <v>-0.6165837086187218</v>
      </c>
      <c r="H54" s="56">
        <v>0.39996500027676057</v>
      </c>
      <c r="I54" s="56">
        <v>-0.27231614744529892</v>
      </c>
      <c r="J54" s="57">
        <v>1.1629373473208344</v>
      </c>
      <c r="K54" s="57">
        <v>0.19715735770806822</v>
      </c>
      <c r="L54" s="57">
        <v>0.24475454406445291</v>
      </c>
      <c r="M54" s="56">
        <v>-0.64378669173146763</v>
      </c>
      <c r="N54" s="56">
        <v>-0.10914369837877237</v>
      </c>
      <c r="O54" s="56">
        <v>-0.10914369837877237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6.2156080983124733</v>
      </c>
      <c r="C55" s="59">
        <v>35.996648715616857</v>
      </c>
      <c r="D55" s="59">
        <v>-29.781040617304384</v>
      </c>
      <c r="E55" s="59">
        <v>0.49542931654867195</v>
      </c>
      <c r="F55" s="59">
        <v>2.2442814869218455</v>
      </c>
      <c r="G55" s="59">
        <v>-1.7488521703731736</v>
      </c>
      <c r="H55" s="59">
        <v>0.13286033218917853</v>
      </c>
      <c r="I55" s="59">
        <v>-0.53942081553288102</v>
      </c>
      <c r="J55" s="60">
        <v>0.63305280224930227</v>
      </c>
      <c r="K55" s="60">
        <v>3.9348081243201667E-2</v>
      </c>
      <c r="L55" s="60">
        <v>8.6945267599586346E-2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10.737786524560176</v>
      </c>
      <c r="C56" s="61" t="s">
        <v>14</v>
      </c>
      <c r="D56" s="59">
        <v>10.737786524560176</v>
      </c>
      <c r="E56" s="59">
        <v>1.0026410750905737</v>
      </c>
      <c r="F56" s="59" t="s">
        <v>14</v>
      </c>
      <c r="G56" s="59">
        <v>1.0026410750905737</v>
      </c>
      <c r="H56" s="59">
        <v>0.26144921655571962</v>
      </c>
      <c r="I56" s="59">
        <v>0.26144921655571962</v>
      </c>
      <c r="J56" s="60">
        <v>1.5092881839272267</v>
      </c>
      <c r="K56" s="60">
        <v>0.16206414323051679</v>
      </c>
      <c r="L56" s="60">
        <v>0.16206414323051679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0.24007518746035594</v>
      </c>
      <c r="F57" s="59" t="s">
        <v>14</v>
      </c>
      <c r="G57" s="59">
        <v>0.24007518746035594</v>
      </c>
      <c r="H57" s="59">
        <v>2.0143660250970259E-2</v>
      </c>
      <c r="I57" s="59">
        <v>2.0143660250970259E-2</v>
      </c>
      <c r="J57" s="60">
        <v>0.37373890501878965</v>
      </c>
      <c r="K57" s="60">
        <v>-7.0933053461088988E-3</v>
      </c>
      <c r="L57" s="60">
        <v>-7.0933053461088988E-3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-0.11044780079647809</v>
      </c>
      <c r="F58" s="59" t="s">
        <v>14</v>
      </c>
      <c r="G58" s="59">
        <v>-0.11044780079647809</v>
      </c>
      <c r="H58" s="59">
        <v>-1.4488208719107826E-2</v>
      </c>
      <c r="I58" s="59">
        <v>-1.4488208719107826E-2</v>
      </c>
      <c r="J58" s="60">
        <v>-0.24120295760334901</v>
      </c>
      <c r="K58" s="60">
        <v>2.8384385804586425E-3</v>
      </c>
      <c r="L58" s="60">
        <v>2.8384385804586425E-3</v>
      </c>
      <c r="M58" s="59">
        <v>9.2747410615007748</v>
      </c>
      <c r="N58" s="59">
        <v>-0.10914369837877237</v>
      </c>
      <c r="O58" s="59">
        <v>-0.10914369837877237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109</v>
      </c>
      <c r="B59" s="56">
        <v>0.4035676677938595</v>
      </c>
      <c r="C59" s="62" t="s">
        <v>14</v>
      </c>
      <c r="D59" s="56">
        <v>0.4035676677938595</v>
      </c>
      <c r="E59" s="56">
        <v>5.9114114106659212E-2</v>
      </c>
      <c r="F59" s="56" t="s">
        <v>14</v>
      </c>
      <c r="G59" s="56">
        <v>5.9114114106659212E-2</v>
      </c>
      <c r="H59" s="56">
        <v>1.5616467938190532E-2</v>
      </c>
      <c r="I59" s="56">
        <v>1.5616467938190532E-2</v>
      </c>
      <c r="J59" s="57">
        <v>49.768734061187097</v>
      </c>
      <c r="K59" s="57">
        <v>0.20085051934126097</v>
      </c>
      <c r="L59" s="57">
        <v>0.20085051934126097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8" t="s">
        <v>110</v>
      </c>
      <c r="B60" s="59">
        <v>0.4035676677938595</v>
      </c>
      <c r="C60" s="61" t="s">
        <v>14</v>
      </c>
      <c r="D60" s="59">
        <v>0.4035676677938595</v>
      </c>
      <c r="E60" s="59">
        <v>5.9114114106659212E-2</v>
      </c>
      <c r="F60" s="59" t="s">
        <v>14</v>
      </c>
      <c r="G60" s="59">
        <v>5.9114114106659212E-2</v>
      </c>
      <c r="H60" s="59">
        <v>1.5616467938190532E-2</v>
      </c>
      <c r="I60" s="59">
        <v>1.5616467938190532E-2</v>
      </c>
      <c r="J60" s="60">
        <v>49.768734061187097</v>
      </c>
      <c r="K60" s="60">
        <v>0.20085051934126097</v>
      </c>
      <c r="L60" s="60">
        <v>0.20085051934126097</v>
      </c>
      <c r="M60" s="59" t="s">
        <v>14</v>
      </c>
      <c r="N60" s="59" t="s">
        <v>14</v>
      </c>
      <c r="O60" s="59" t="s">
        <v>14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111</v>
      </c>
      <c r="B61" s="56">
        <v>3.4495468698893363</v>
      </c>
      <c r="C61" s="62" t="s">
        <v>14</v>
      </c>
      <c r="D61" s="56">
        <v>3.4495468698893363</v>
      </c>
      <c r="E61" s="56">
        <v>-0.87763918096364724</v>
      </c>
      <c r="F61" s="56" t="s">
        <v>14</v>
      </c>
      <c r="G61" s="56">
        <v>-0.87763918096364724</v>
      </c>
      <c r="H61" s="56">
        <v>8.7349830177978455E-2</v>
      </c>
      <c r="I61" s="56">
        <v>8.7349830177978455E-2</v>
      </c>
      <c r="J61" s="57">
        <v>7.9602744475821776</v>
      </c>
      <c r="K61" s="57">
        <v>0.27459339804117161</v>
      </c>
      <c r="L61" s="57">
        <v>0.27459339804117161</v>
      </c>
      <c r="M61" s="56" t="s">
        <v>14</v>
      </c>
      <c r="N61" s="56" t="s">
        <v>14</v>
      </c>
      <c r="O61" s="56" t="s">
        <v>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112</v>
      </c>
      <c r="B62" s="64">
        <v>41.455575568925674</v>
      </c>
      <c r="C62" s="64">
        <v>30.326231137594277</v>
      </c>
      <c r="D62" s="64">
        <v>11.129344431331395</v>
      </c>
      <c r="E62" s="64">
        <v>1.1037836424062732</v>
      </c>
      <c r="F62" s="64">
        <v>1.4472224848749615</v>
      </c>
      <c r="G62" s="64">
        <v>-0.34343884246868828</v>
      </c>
      <c r="H62" s="64">
        <v>1.4391276557900421</v>
      </c>
      <c r="I62" s="64">
        <v>0.58669048605193463</v>
      </c>
      <c r="J62" s="65">
        <v>118.9694055017671</v>
      </c>
      <c r="K62" s="65">
        <v>49.319451801686682</v>
      </c>
      <c r="L62" s="65">
        <v>41.929224352754758</v>
      </c>
      <c r="M62" s="64">
        <v>4.5848336563628447</v>
      </c>
      <c r="N62" s="64">
        <v>1.9006691811230376</v>
      </c>
      <c r="O62" s="64">
        <v>0.26969956612092871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113</v>
      </c>
      <c r="B63" s="56">
        <v>21.327127748374885</v>
      </c>
      <c r="C63" s="56">
        <v>28.100938891367939</v>
      </c>
      <c r="D63" s="56">
        <v>-6.7738111429930523</v>
      </c>
      <c r="E63" s="56">
        <v>1.0286594380022012</v>
      </c>
      <c r="F63" s="56">
        <v>1.3393581882522161</v>
      </c>
      <c r="G63" s="56">
        <v>-0.31069875025001492</v>
      </c>
      <c r="H63" s="56">
        <v>0.61584684204693652</v>
      </c>
      <c r="I63" s="56">
        <v>-0.17961221086121593</v>
      </c>
      <c r="J63" s="57">
        <v>13.44869587930971</v>
      </c>
      <c r="K63" s="57">
        <v>2.8682205506708107</v>
      </c>
      <c r="L63" s="57">
        <v>-2.940169318530375</v>
      </c>
      <c r="M63" s="56">
        <v>5.3508203312512164</v>
      </c>
      <c r="N63" s="56">
        <v>1.1411762876319633</v>
      </c>
      <c r="O63" s="56">
        <v>-0.38369403588403084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114</v>
      </c>
      <c r="B64" s="56">
        <v>15.89860182477047</v>
      </c>
      <c r="C64" s="62" t="s">
        <v>14</v>
      </c>
      <c r="D64" s="56">
        <v>15.89860182477047</v>
      </c>
      <c r="E64" s="56">
        <v>1.3595568446939233E-2</v>
      </c>
      <c r="F64" s="56" t="s">
        <v>14</v>
      </c>
      <c r="G64" s="56">
        <v>1.3595568446939233E-2</v>
      </c>
      <c r="H64" s="56">
        <v>0.73260580730017122</v>
      </c>
      <c r="I64" s="56">
        <v>0.73260580730017122</v>
      </c>
      <c r="J64" s="57">
        <v>264.84704661502627</v>
      </c>
      <c r="K64" s="57">
        <v>42.106977385987257</v>
      </c>
      <c r="L64" s="57">
        <v>42.106977385987257</v>
      </c>
      <c r="M64" s="56">
        <v>4.3741053905728293</v>
      </c>
      <c r="N64" s="56">
        <v>0.69542159944299542</v>
      </c>
      <c r="O64" s="56">
        <v>0.69542159944299542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115</v>
      </c>
      <c r="B65" s="56">
        <v>1.5753348444740407</v>
      </c>
      <c r="C65" s="56">
        <v>1.7066456783670265</v>
      </c>
      <c r="D65" s="56">
        <v>-0.13131083389298567</v>
      </c>
      <c r="E65" s="56">
        <v>4.8630017202956448E-2</v>
      </c>
      <c r="F65" s="56">
        <v>9.527928506568395E-2</v>
      </c>
      <c r="G65" s="56">
        <v>-4.6649267862727502E-2</v>
      </c>
      <c r="H65" s="56">
        <v>5.8324369724463747E-2</v>
      </c>
      <c r="I65" s="56">
        <v>1.1333643405805109E-2</v>
      </c>
      <c r="J65" s="57">
        <v>190.93706582931989</v>
      </c>
      <c r="K65" s="57">
        <v>3.0078981290256133</v>
      </c>
      <c r="L65" s="57">
        <v>1.7305411416573933</v>
      </c>
      <c r="M65" s="56">
        <v>3.045645452339651</v>
      </c>
      <c r="N65" s="56">
        <v>4.7979114049845527E-2</v>
      </c>
      <c r="O65" s="56">
        <v>-4.5708110539885556E-2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116</v>
      </c>
      <c r="B66" s="56">
        <v>2.6545111513062793</v>
      </c>
      <c r="C66" s="56">
        <v>0.44305072411314594</v>
      </c>
      <c r="D66" s="56">
        <v>2.2114604271931335</v>
      </c>
      <c r="E66" s="56">
        <v>1.2898618754176378E-2</v>
      </c>
      <c r="F66" s="56">
        <v>1.0294854169898244E-2</v>
      </c>
      <c r="G66" s="56">
        <v>2.6037645842781343E-3</v>
      </c>
      <c r="H66" s="56">
        <v>3.2350636718470598E-2</v>
      </c>
      <c r="I66" s="56">
        <v>2.3940773425937874E-2</v>
      </c>
      <c r="J66" s="57">
        <v>50.342818689813434</v>
      </c>
      <c r="K66" s="57">
        <v>1.3363557360029994</v>
      </c>
      <c r="L66" s="57">
        <v>1.0751318369071923</v>
      </c>
      <c r="M66" s="56">
        <v>0.60622009405816213</v>
      </c>
      <c r="N66" s="56">
        <v>1.6092179998233331E-2</v>
      </c>
      <c r="O66" s="56">
        <v>5.9439875155657563E-3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117</v>
      </c>
      <c r="B67" s="66" t="s">
        <v>14</v>
      </c>
      <c r="C67" s="56">
        <v>7.5595843746166361E-2</v>
      </c>
      <c r="D67" s="56">
        <v>-7.5595843746166361E-2</v>
      </c>
      <c r="E67" s="56" t="s">
        <v>14</v>
      </c>
      <c r="F67" s="56">
        <v>2.2901573871632369E-3</v>
      </c>
      <c r="G67" s="56">
        <v>-2.2901573871632369E-3</v>
      </c>
      <c r="H67" s="56" t="s">
        <v>14</v>
      </c>
      <c r="I67" s="56">
        <v>-1.5775272187636879E-3</v>
      </c>
      <c r="J67" s="57" t="s">
        <v>14</v>
      </c>
      <c r="K67" s="57" t="s">
        <v>14</v>
      </c>
      <c r="L67" s="57">
        <v>-4.3256693266710791E-2</v>
      </c>
      <c r="M67" s="56" t="s">
        <v>14</v>
      </c>
      <c r="N67" s="56" t="s">
        <v>14</v>
      </c>
      <c r="O67" s="56">
        <v>-2.2638744137160275E-3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63" t="s">
        <v>119</v>
      </c>
      <c r="B68" s="64">
        <v>23.298457210836762</v>
      </c>
      <c r="C68" s="64">
        <v>31.393395467643792</v>
      </c>
      <c r="D68" s="64">
        <v>-8.0949382568070298</v>
      </c>
      <c r="E68" s="64">
        <v>2.1255195548982053</v>
      </c>
      <c r="F68" s="64">
        <v>2.2648323271171944</v>
      </c>
      <c r="G68" s="64">
        <v>-0.13931277221898908</v>
      </c>
      <c r="H68" s="64">
        <v>0.97983136494573986</v>
      </c>
      <c r="I68" s="64">
        <v>-1.8267893300231264E-2</v>
      </c>
      <c r="J68" s="65">
        <v>182.66515443882787</v>
      </c>
      <c r="K68" s="65">
        <v>42.55816284603921</v>
      </c>
      <c r="L68" s="65">
        <v>7.8552807006773619</v>
      </c>
      <c r="M68" s="64">
        <v>8.8030515680777057</v>
      </c>
      <c r="N68" s="64">
        <v>2.0509752028364794</v>
      </c>
      <c r="O68" s="64">
        <v>-0.14814588439774035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5" t="s">
        <v>120</v>
      </c>
      <c r="B69" s="56">
        <v>22.849266433050236</v>
      </c>
      <c r="C69" s="56">
        <v>25.829613674930368</v>
      </c>
      <c r="D69" s="56">
        <v>-2.9803472418801324</v>
      </c>
      <c r="E69" s="56">
        <v>2.0915844898139224</v>
      </c>
      <c r="F69" s="56">
        <v>1.9280943793153948</v>
      </c>
      <c r="G69" s="56">
        <v>0.16349011049852757</v>
      </c>
      <c r="H69" s="56">
        <v>0.96072363074093836</v>
      </c>
      <c r="I69" s="56">
        <v>0.11745162316741042</v>
      </c>
      <c r="J69" s="57">
        <v>182.43908206012546</v>
      </c>
      <c r="K69" s="57">
        <v>41.685991937929231</v>
      </c>
      <c r="L69" s="57">
        <v>11.811503639563497</v>
      </c>
      <c r="M69" s="56">
        <v>8.8303901186396079</v>
      </c>
      <c r="N69" s="56">
        <v>2.0176793652857055</v>
      </c>
      <c r="O69" s="56">
        <v>0.14601840007729328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8" t="s">
        <v>121</v>
      </c>
      <c r="B70" s="59">
        <v>5.9058011498019214</v>
      </c>
      <c r="C70" s="59">
        <v>8.2084648168932048</v>
      </c>
      <c r="D70" s="59">
        <v>-2.3026636670912835</v>
      </c>
      <c r="E70" s="59">
        <v>0.44698047074176783</v>
      </c>
      <c r="F70" s="59">
        <v>0.48995511988414847</v>
      </c>
      <c r="G70" s="59">
        <v>-4.2974649142380639E-2</v>
      </c>
      <c r="H70" s="59">
        <v>0.22594665604593434</v>
      </c>
      <c r="I70" s="59">
        <v>-2.4242905511470292E-2</v>
      </c>
      <c r="J70" s="60">
        <v>162.11731358723341</v>
      </c>
      <c r="K70" s="60">
        <v>9.5743261698628146</v>
      </c>
      <c r="L70" s="60">
        <v>0.4496138201737292</v>
      </c>
      <c r="M70" s="59">
        <v>7.3581093992096642</v>
      </c>
      <c r="N70" s="59">
        <v>0.43455530950220744</v>
      </c>
      <c r="O70" s="59">
        <v>-4.4596522110616432E-2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8" t="s">
        <v>122</v>
      </c>
      <c r="B71" s="59">
        <v>16.427678521539022</v>
      </c>
      <c r="C71" s="59">
        <v>15.635526510908736</v>
      </c>
      <c r="D71" s="59">
        <v>0.79215201063028429</v>
      </c>
      <c r="E71" s="59">
        <v>1.6036403831266595</v>
      </c>
      <c r="F71" s="59">
        <v>1.2467024986226645</v>
      </c>
      <c r="G71" s="59">
        <v>0.356937884503995</v>
      </c>
      <c r="H71" s="59">
        <v>0.71493386069961495</v>
      </c>
      <c r="I71" s="59">
        <v>0.19026362100328531</v>
      </c>
      <c r="J71" s="60">
        <v>190.80499012030145</v>
      </c>
      <c r="K71" s="60">
        <v>31.34483038001741</v>
      </c>
      <c r="L71" s="60">
        <v>12.82846803372723</v>
      </c>
      <c r="M71" s="59">
        <v>9.3929511201928921</v>
      </c>
      <c r="N71" s="59">
        <v>1.5430438137105869</v>
      </c>
      <c r="O71" s="59">
        <v>0.33541761091092437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58" t="s">
        <v>123</v>
      </c>
      <c r="B72" s="59">
        <v>0.51578676170929572</v>
      </c>
      <c r="C72" s="59">
        <v>1.985622347128426</v>
      </c>
      <c r="D72" s="59">
        <v>-1.4698355854191305</v>
      </c>
      <c r="E72" s="59">
        <v>4.0963635945495028E-2</v>
      </c>
      <c r="F72" s="59">
        <v>0.19143676080858196</v>
      </c>
      <c r="G72" s="59">
        <v>-0.15047312486308695</v>
      </c>
      <c r="H72" s="59">
        <v>1.9843113995389031E-2</v>
      </c>
      <c r="I72" s="59">
        <v>-4.856909232440465E-2</v>
      </c>
      <c r="J72" s="60">
        <v>148.67294877979026</v>
      </c>
      <c r="K72" s="60">
        <v>0.76683538804900009</v>
      </c>
      <c r="L72" s="60">
        <v>-1.4665782143374684</v>
      </c>
      <c r="M72" s="59">
        <v>7.770700035046846</v>
      </c>
      <c r="N72" s="59">
        <v>4.0080242072911242E-2</v>
      </c>
      <c r="O72" s="59">
        <v>-0.14480268872301463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55" t="s">
        <v>124</v>
      </c>
      <c r="B73" s="56">
        <v>0.44919077778652644</v>
      </c>
      <c r="C73" s="56">
        <v>5.5637817927134225</v>
      </c>
      <c r="D73" s="56">
        <v>-5.1145910149268969</v>
      </c>
      <c r="E73" s="56">
        <v>3.3935065084282873E-2</v>
      </c>
      <c r="F73" s="56">
        <v>0.3367379478017995</v>
      </c>
      <c r="G73" s="56">
        <v>-0.30280288271751665</v>
      </c>
      <c r="H73" s="56">
        <v>1.9107734204801448E-2</v>
      </c>
      <c r="I73" s="56">
        <v>-0.13571951646764174</v>
      </c>
      <c r="J73" s="57">
        <v>194.16491861381667</v>
      </c>
      <c r="K73" s="57">
        <v>0.8721709081099791</v>
      </c>
      <c r="L73" s="57">
        <v>-3.9562229388861363</v>
      </c>
      <c r="M73" s="56">
        <v>7.412404527725533</v>
      </c>
      <c r="N73" s="56">
        <v>3.3295837550774018E-2</v>
      </c>
      <c r="O73" s="56">
        <v>-0.29416428447503351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125</v>
      </c>
      <c r="B74" s="64">
        <v>19.162934111530308</v>
      </c>
      <c r="C74" s="67" t="s">
        <v>14</v>
      </c>
      <c r="D74" s="64">
        <v>19.162934111530308</v>
      </c>
      <c r="E74" s="64">
        <v>0.75163133888213141</v>
      </c>
      <c r="F74" s="64" t="s">
        <v>14</v>
      </c>
      <c r="G74" s="64">
        <v>0.75163133888213141</v>
      </c>
      <c r="H74" s="64">
        <v>1.0161716252856181</v>
      </c>
      <c r="I74" s="64">
        <v>1.0161716252856181</v>
      </c>
      <c r="J74" s="65">
        <v>341.18133347226524</v>
      </c>
      <c r="K74" s="65">
        <v>65.380354134130684</v>
      </c>
      <c r="L74" s="65">
        <v>65.380354134130684</v>
      </c>
      <c r="M74" s="64">
        <v>3.8831015194330694</v>
      </c>
      <c r="N74" s="64">
        <v>0.74411618565279136</v>
      </c>
      <c r="O74" s="64">
        <v>0.74411618565279136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126</v>
      </c>
      <c r="B75" s="64">
        <v>6.7677094891088005</v>
      </c>
      <c r="C75" s="67" t="s">
        <v>14</v>
      </c>
      <c r="D75" s="64">
        <v>6.7677094891088005</v>
      </c>
      <c r="E75" s="64">
        <v>1.5839252038603282E-2</v>
      </c>
      <c r="F75" s="64" t="s">
        <v>14</v>
      </c>
      <c r="G75" s="64">
        <v>1.5839252038603282E-2</v>
      </c>
      <c r="H75" s="64">
        <v>0.29102839083459653</v>
      </c>
      <c r="I75" s="64">
        <v>0.29102839083459653</v>
      </c>
      <c r="J75" s="65">
        <v>354.80985225645287</v>
      </c>
      <c r="K75" s="65">
        <v>24.012500039452878</v>
      </c>
      <c r="L75" s="65">
        <v>24.012500039452878</v>
      </c>
      <c r="M75" s="64">
        <v>4.2399073917378924</v>
      </c>
      <c r="N75" s="64">
        <v>0.28694461488007084</v>
      </c>
      <c r="O75" s="64">
        <v>0.28694461488007084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3" t="s">
        <v>127</v>
      </c>
      <c r="B76" s="64">
        <v>3.6694013598424848</v>
      </c>
      <c r="C76" s="67" t="s">
        <v>14</v>
      </c>
      <c r="D76" s="64">
        <v>3.6694013598424848</v>
      </c>
      <c r="E76" s="64">
        <v>0.26912879579674232</v>
      </c>
      <c r="F76" s="64" t="s">
        <v>14</v>
      </c>
      <c r="G76" s="64">
        <v>0.26912879579674232</v>
      </c>
      <c r="H76" s="64">
        <v>0.1964408129066014</v>
      </c>
      <c r="I76" s="64">
        <v>0.1964408129066014</v>
      </c>
      <c r="J76" s="65">
        <v>309.17644777183477</v>
      </c>
      <c r="K76" s="65">
        <v>11.344924778852397</v>
      </c>
      <c r="L76" s="65">
        <v>11.344924778852397</v>
      </c>
      <c r="M76" s="64">
        <v>7.144331979388471</v>
      </c>
      <c r="N76" s="64">
        <v>0.26215421480334211</v>
      </c>
      <c r="O76" s="64">
        <v>0.26215421480334211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77" s="63" t="s">
        <v>128</v>
      </c>
      <c r="B77" s="64">
        <v>0.58400732014330958</v>
      </c>
      <c r="C77" s="67" t="s">
        <v>14</v>
      </c>
      <c r="D77" s="64">
        <v>0.58400732014330958</v>
      </c>
      <c r="E77" s="64">
        <v>5.8422374815106474E-7</v>
      </c>
      <c r="F77" s="64" t="s">
        <v>14</v>
      </c>
      <c r="G77" s="64">
        <v>5.8422374815106474E-7</v>
      </c>
      <c r="H77" s="64">
        <v>-3.1170860920328889E-4</v>
      </c>
      <c r="I77" s="64">
        <v>-3.1170860920328889E-4</v>
      </c>
      <c r="J77" s="65">
        <v>4.1176806501930764E-8</v>
      </c>
      <c r="K77" s="65">
        <v>2.40475564172419E-10</v>
      </c>
      <c r="L77" s="65">
        <v>2.40475564172419E-10</v>
      </c>
      <c r="M77" s="64">
        <v>4.1176806501930764E-8</v>
      </c>
      <c r="N77" s="64">
        <v>2.40475564172419E-10</v>
      </c>
      <c r="O77" s="64">
        <v>2.40475564172419E-10</v>
      </c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78" s="63" t="s">
        <v>129</v>
      </c>
      <c r="B78" s="64">
        <v>-16.091100657229561</v>
      </c>
      <c r="C78" s="67" t="s">
        <v>14</v>
      </c>
      <c r="D78" s="64">
        <v>-16.091100657229561</v>
      </c>
      <c r="E78" s="64">
        <v>-1.6091100657229562E-4</v>
      </c>
      <c r="F78" s="64" t="s">
        <v>14</v>
      </c>
      <c r="G78" s="64">
        <v>-1.6091100657229562E-4</v>
      </c>
      <c r="H78" s="64">
        <v>-0.12329982906109678</v>
      </c>
      <c r="I78" s="64">
        <v>-0.12329982906109678</v>
      </c>
      <c r="J78" s="65">
        <v>1E-3</v>
      </c>
      <c r="K78" s="65">
        <v>-1.6091100657229562E-4</v>
      </c>
      <c r="L78" s="65">
        <v>-1.6091100657229562E-4</v>
      </c>
      <c r="M78" s="64">
        <v>1E-3</v>
      </c>
      <c r="N78" s="64">
        <v>-1.6091100657229562E-4</v>
      </c>
      <c r="O78" s="64">
        <v>-1.6091100657229562E-4</v>
      </c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79" s="68" t="s">
        <v>37</v>
      </c>
      <c r="B79" s="69">
        <v>100.00000000000007</v>
      </c>
      <c r="C79" s="69">
        <v>100.00000000000017</v>
      </c>
      <c r="D79" s="69">
        <v>-1.1102230246251565E-13</v>
      </c>
      <c r="E79" s="69">
        <v>5.1179670997615734</v>
      </c>
      <c r="F79" s="69">
        <v>6.0434449650283328</v>
      </c>
      <c r="G79" s="69">
        <v>-0.92547786526675946</v>
      </c>
      <c r="H79" s="69">
        <v>4.3125979054298398</v>
      </c>
      <c r="I79" s="69">
        <v>1.750067874993448</v>
      </c>
      <c r="J79" s="70">
        <v>193.46430653725974</v>
      </c>
      <c r="K79" s="70">
        <v>193.46430653725997</v>
      </c>
      <c r="L79" s="70">
        <v>151.03203223121972</v>
      </c>
      <c r="M79" s="69">
        <v>5.1775820064781861</v>
      </c>
      <c r="N79" s="69">
        <v>5.1775820064781897</v>
      </c>
      <c r="O79" s="69">
        <v>1.2622434227166823</v>
      </c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51">
      <c r="A1" s="2" t="s">
        <v>0</v>
      </c>
      <c r="B1" s="3" t="s">
        <v>81</v>
      </c>
      <c r="C1" s="3" t="s">
        <v>82</v>
      </c>
    </row>
    <row r="2" spans="1:8">
      <c r="A2" s="4" t="s">
        <v>3</v>
      </c>
      <c r="B2" s="9">
        <v>3.8902067476919679</v>
      </c>
      <c r="C2" s="9">
        <v>3.718562614114632</v>
      </c>
    </row>
    <row r="3" spans="1:8">
      <c r="A3" s="4" t="s">
        <v>4</v>
      </c>
      <c r="B3" s="10">
        <v>326.14542365743779</v>
      </c>
      <c r="C3" s="10">
        <v>361.24539243854377</v>
      </c>
    </row>
    <row r="4" spans="1:8">
      <c r="A4" s="4" t="s">
        <v>5</v>
      </c>
      <c r="B4" s="9">
        <v>4.821958711110625</v>
      </c>
      <c r="C4" s="9">
        <v>4.8751232024928726</v>
      </c>
    </row>
    <row r="5" spans="1:8">
      <c r="A5" s="4" t="s">
        <v>6</v>
      </c>
      <c r="B5" s="9">
        <v>6.1113553900184714</v>
      </c>
      <c r="C5" s="9">
        <v>5.3955197669264434</v>
      </c>
    </row>
    <row r="6" spans="1:8">
      <c r="A6" s="4" t="s">
        <v>7</v>
      </c>
      <c r="B6" s="9">
        <v>5.2819041729321992</v>
      </c>
      <c r="C6" s="9">
        <v>5.4156737747176251</v>
      </c>
    </row>
    <row r="7" spans="1:8">
      <c r="A7" s="4" t="s">
        <v>8</v>
      </c>
      <c r="B7" s="9">
        <v>5.0736670994353563</v>
      </c>
      <c r="C7" s="9">
        <v>5.2780187247048396</v>
      </c>
    </row>
    <row r="8" spans="1:8">
      <c r="A8" s="4" t="s">
        <v>9</v>
      </c>
      <c r="B8" s="9">
        <v>3.3150983429474818</v>
      </c>
      <c r="C8" s="9">
        <v>5.7103880391338926</v>
      </c>
    </row>
    <row r="9" spans="1:8">
      <c r="A9" s="4" t="s">
        <v>10</v>
      </c>
      <c r="B9" s="9" t="s">
        <v>83</v>
      </c>
      <c r="C9" s="9" t="s">
        <v>84</v>
      </c>
    </row>
    <row r="10" spans="1:8">
      <c r="A10" s="4" t="s">
        <v>13</v>
      </c>
      <c r="B10" s="39">
        <v>86058998.740359619</v>
      </c>
      <c r="C10" s="7" t="s">
        <v>14</v>
      </c>
    </row>
    <row r="11" spans="1:8">
      <c r="B11" s="1"/>
    </row>
    <row r="12" spans="1:8" ht="51">
      <c r="A12" s="5" t="s">
        <v>15</v>
      </c>
      <c r="B12" s="3" t="s">
        <v>81</v>
      </c>
      <c r="C12" s="3" t="s">
        <v>82</v>
      </c>
    </row>
    <row r="13" spans="1:8">
      <c r="A13" s="6" t="s">
        <v>16</v>
      </c>
      <c r="B13" s="9">
        <v>0.33422911515365578</v>
      </c>
      <c r="C13" s="9">
        <v>0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0</v>
      </c>
      <c r="C14" s="12">
        <v>0.75184620378887612</v>
      </c>
      <c r="E14" s="40" t="s">
        <v>22</v>
      </c>
      <c r="F14" s="41">
        <v>4.6928031723815593E-2</v>
      </c>
      <c r="G14" s="41">
        <v>6.6870230194634769E-2</v>
      </c>
      <c r="H14" s="41">
        <v>-1.9942198470819211E-2</v>
      </c>
    </row>
    <row r="15" spans="1:8">
      <c r="A15" s="4" t="s">
        <v>23</v>
      </c>
      <c r="B15" s="9">
        <v>0</v>
      </c>
      <c r="C15" s="12">
        <v>3.706338906135537</v>
      </c>
      <c r="E15" s="40" t="s">
        <v>24</v>
      </c>
      <c r="F15" s="41">
        <v>7.2393643851999465E-2</v>
      </c>
      <c r="G15" s="41">
        <v>5.8253008282101747E-2</v>
      </c>
      <c r="H15" s="41">
        <v>1.414063556989772E-2</v>
      </c>
    </row>
    <row r="16" spans="1:8">
      <c r="A16" s="4" t="s">
        <v>25</v>
      </c>
      <c r="B16" s="9">
        <v>6.2828522881216751</v>
      </c>
      <c r="C16" s="12">
        <v>14.850203174379679</v>
      </c>
      <c r="E16" s="40" t="s">
        <v>26</v>
      </c>
      <c r="F16" s="41">
        <v>0.15015583882803171</v>
      </c>
      <c r="G16" s="41">
        <v>0.146110424162509</v>
      </c>
      <c r="H16" s="41">
        <v>4.0454146655226897E-3</v>
      </c>
    </row>
    <row r="17" spans="1:8">
      <c r="A17" s="4" t="s">
        <v>27</v>
      </c>
      <c r="B17" s="9">
        <v>30.62620895682495</v>
      </c>
      <c r="C17" s="12">
        <v>33.793184947457632</v>
      </c>
      <c r="E17" s="40" t="s">
        <v>28</v>
      </c>
      <c r="F17" s="41">
        <v>0.35215547602746938</v>
      </c>
      <c r="G17" s="41">
        <v>0.37338938626910551</v>
      </c>
      <c r="H17" s="41">
        <v>-2.1233910241636011E-2</v>
      </c>
    </row>
    <row r="18" spans="1:8">
      <c r="A18" s="4" t="s">
        <v>29</v>
      </c>
      <c r="B18" s="12">
        <v>58.731631654895232</v>
      </c>
      <c r="C18" s="12">
        <v>36.403395284865503</v>
      </c>
      <c r="E18" s="40" t="s">
        <v>30</v>
      </c>
      <c r="F18" s="41">
        <v>0.73577003050988343</v>
      </c>
      <c r="G18" s="41">
        <v>0.65810188710539619</v>
      </c>
      <c r="H18" s="41">
        <v>7.7668143404487244E-2</v>
      </c>
    </row>
    <row r="19" spans="1:8">
      <c r="A19" s="4" t="s">
        <v>31</v>
      </c>
      <c r="B19" s="12">
        <v>4.0880180941416722</v>
      </c>
      <c r="C19" s="12">
        <v>9.3450103501852357</v>
      </c>
      <c r="E19" s="40" t="s">
        <v>32</v>
      </c>
      <c r="F19" s="41">
        <v>0.98115820723286995</v>
      </c>
      <c r="G19" s="41">
        <v>0.82561046362382229</v>
      </c>
      <c r="H19" s="41">
        <v>0.15554774360904769</v>
      </c>
    </row>
    <row r="20" spans="1:8">
      <c r="A20" s="4" t="s">
        <v>33</v>
      </c>
      <c r="B20" s="12">
        <v>0</v>
      </c>
      <c r="C20" s="12">
        <v>1.1500211331874519</v>
      </c>
      <c r="E20" s="40" t="s">
        <v>34</v>
      </c>
      <c r="F20" s="41">
        <v>0.83431766235718441</v>
      </c>
      <c r="G20" s="41">
        <v>0.56538788463543888</v>
      </c>
      <c r="H20" s="41">
        <v>0.26892977772174548</v>
      </c>
    </row>
    <row r="21" spans="1:8">
      <c r="A21" s="4" t="s">
        <v>35</v>
      </c>
      <c r="B21" s="12">
        <v>-6.2940109137176431E-2</v>
      </c>
      <c r="C21" s="12">
        <v>0</v>
      </c>
      <c r="E21" s="40" t="s">
        <v>36</v>
      </c>
      <c r="F21" s="41">
        <v>0.18938861141633009</v>
      </c>
      <c r="G21" s="41">
        <v>0.23688880714513841</v>
      </c>
      <c r="H21" s="41">
        <v>-4.7500195728808287E-2</v>
      </c>
    </row>
    <row r="22" spans="1:8">
      <c r="A22" s="2" t="s">
        <v>37</v>
      </c>
      <c r="B22" s="13">
        <f>SUM(B13:B21)</f>
        <v>100.00000000000001</v>
      </c>
      <c r="C22" s="13">
        <f>SUM(C13:C21)</f>
        <v>99.999999999999915</v>
      </c>
      <c r="E22" s="40" t="s">
        <v>38</v>
      </c>
      <c r="F22" s="41">
        <v>0.1989106647019451</v>
      </c>
      <c r="G22" s="41">
        <v>0.2344969473592636</v>
      </c>
      <c r="H22" s="41">
        <v>-3.5586282657318558E-2</v>
      </c>
    </row>
    <row r="23" spans="1:8">
      <c r="A23" s="14"/>
      <c r="B23" s="15"/>
      <c r="C23" s="15"/>
      <c r="E23" s="40" t="s">
        <v>39</v>
      </c>
      <c r="F23" s="41">
        <v>0.1896019389656991</v>
      </c>
      <c r="G23" s="41">
        <v>0.30603824374111233</v>
      </c>
      <c r="H23" s="41">
        <v>-0.1164363047754131</v>
      </c>
    </row>
    <row r="24" spans="1:8">
      <c r="E24" s="40" t="s">
        <v>40</v>
      </c>
      <c r="F24" s="41">
        <v>0.13162083192776769</v>
      </c>
      <c r="G24" s="41">
        <v>0.23442041457242091</v>
      </c>
      <c r="H24" s="41">
        <v>-0.10279958264465321</v>
      </c>
    </row>
    <row r="25" spans="1:8" ht="51">
      <c r="A25" s="5" t="s">
        <v>41</v>
      </c>
      <c r="B25" s="3" t="s">
        <v>81</v>
      </c>
      <c r="C25" s="3" t="s">
        <v>82</v>
      </c>
    </row>
    <row r="26" spans="1:8">
      <c r="A26" s="6" t="s">
        <v>43</v>
      </c>
      <c r="B26" s="9">
        <v>0.71256111361015984</v>
      </c>
      <c r="C26" s="9">
        <v>0.76325384377910144</v>
      </c>
    </row>
    <row r="27" spans="1:8">
      <c r="A27" s="4" t="s">
        <v>44</v>
      </c>
      <c r="B27" s="9">
        <v>0</v>
      </c>
      <c r="C27" s="12">
        <v>2.752933872750249</v>
      </c>
    </row>
    <row r="28" spans="1:8">
      <c r="A28" s="4" t="s">
        <v>45</v>
      </c>
      <c r="B28" s="9">
        <v>5.572141843556369</v>
      </c>
      <c r="C28" s="12">
        <v>16.333574967181711</v>
      </c>
    </row>
    <row r="29" spans="1:8">
      <c r="A29" s="4" t="s">
        <v>46</v>
      </c>
      <c r="B29" s="9">
        <v>7.5451996117529747</v>
      </c>
      <c r="C29" s="12">
        <v>34.992319382235493</v>
      </c>
    </row>
    <row r="30" spans="1:8">
      <c r="A30" s="4" t="s">
        <v>47</v>
      </c>
      <c r="B30" s="9">
        <v>62.252877365941359</v>
      </c>
      <c r="C30" s="12">
        <v>33.267075226741767</v>
      </c>
    </row>
    <row r="31" spans="1:8">
      <c r="A31" s="4" t="s">
        <v>48</v>
      </c>
      <c r="B31" s="12">
        <v>4.7400208461914302</v>
      </c>
      <c r="C31" s="12">
        <v>6.355238734214236</v>
      </c>
    </row>
    <row r="32" spans="1:8">
      <c r="A32" s="4" t="s">
        <v>49</v>
      </c>
      <c r="B32" s="12">
        <v>19.240139328084879</v>
      </c>
      <c r="C32" s="12">
        <v>5.5356039730973876</v>
      </c>
    </row>
    <row r="33" spans="1:3">
      <c r="A33" s="4" t="s">
        <v>35</v>
      </c>
      <c r="B33" s="12">
        <v>-6.2940109137176431E-2</v>
      </c>
      <c r="C33" s="12">
        <v>0</v>
      </c>
    </row>
    <row r="34" spans="1:3">
      <c r="A34" s="4"/>
      <c r="B34" s="12"/>
      <c r="C34" s="12"/>
    </row>
    <row r="35" spans="1:3">
      <c r="A35" s="2" t="s">
        <v>37</v>
      </c>
      <c r="B35" s="13">
        <f>SUM(B26:B34)</f>
        <v>100</v>
      </c>
      <c r="C35" s="13">
        <f>SUM(C26:C34)</f>
        <v>99.999999999999943</v>
      </c>
    </row>
    <row r="37" spans="1:3" ht="51">
      <c r="A37" s="5" t="s">
        <v>50</v>
      </c>
      <c r="B37" s="3" t="s">
        <v>81</v>
      </c>
      <c r="C37" s="3" t="s">
        <v>82</v>
      </c>
    </row>
    <row r="38" spans="1:3">
      <c r="A38" s="6" t="s">
        <v>51</v>
      </c>
      <c r="B38" s="9">
        <v>0.33422911515365578</v>
      </c>
      <c r="C38" s="9">
        <v>0</v>
      </c>
    </row>
    <row r="39" spans="1:3">
      <c r="A39" s="4" t="s">
        <v>52</v>
      </c>
      <c r="B39" s="9">
        <v>0</v>
      </c>
      <c r="C39" s="12">
        <v>1.2766076274701581</v>
      </c>
    </row>
    <row r="40" spans="1:3">
      <c r="A40" s="4" t="s">
        <v>53</v>
      </c>
      <c r="B40" s="9">
        <v>0.67885676974651576</v>
      </c>
      <c r="C40" s="12">
        <v>4.5679035432287858</v>
      </c>
    </row>
    <row r="41" spans="1:3">
      <c r="A41" s="4" t="s">
        <v>54</v>
      </c>
      <c r="B41" s="9">
        <v>4.4810915093953989</v>
      </c>
      <c r="C41" s="12">
        <v>11.994452102169349</v>
      </c>
    </row>
    <row r="42" spans="1:3">
      <c r="A42" s="4" t="s">
        <v>55</v>
      </c>
      <c r="B42" s="9">
        <v>29.07155363778574</v>
      </c>
      <c r="C42" s="12">
        <v>28.934892193742929</v>
      </c>
    </row>
    <row r="43" spans="1:3">
      <c r="A43" s="4" t="s">
        <v>56</v>
      </c>
      <c r="B43" s="12">
        <v>62.810105090715339</v>
      </c>
      <c r="C43" s="12">
        <v>32.367733424219217</v>
      </c>
    </row>
    <row r="44" spans="1:3">
      <c r="A44" s="4" t="s">
        <v>57</v>
      </c>
      <c r="B44" s="12">
        <v>0.31495672252219697</v>
      </c>
      <c r="C44" s="12">
        <v>9.7135535963234236</v>
      </c>
    </row>
    <row r="45" spans="1:3">
      <c r="A45" s="4" t="s">
        <v>58</v>
      </c>
      <c r="B45" s="12">
        <v>2.3721472638183259</v>
      </c>
      <c r="C45" s="12">
        <v>11.1448575128461</v>
      </c>
    </row>
    <row r="46" spans="1:3">
      <c r="A46" s="4" t="s">
        <v>35</v>
      </c>
      <c r="B46" s="12">
        <v>-6.2940109137176431E-2</v>
      </c>
      <c r="C46" s="12">
        <v>0</v>
      </c>
    </row>
    <row r="47" spans="1:3">
      <c r="A47" s="2" t="s">
        <v>37</v>
      </c>
      <c r="B47" s="13">
        <f>SUM(B38:B46)</f>
        <v>99.999999999999986</v>
      </c>
      <c r="C47" s="13">
        <f>SUM(C38:C46)</f>
        <v>99.999999999999957</v>
      </c>
    </row>
    <row r="49" spans="1:35" ht="51.75">
      <c r="Q49" s="16" t="s">
        <v>59</v>
      </c>
      <c r="R49" s="16" t="s">
        <v>81</v>
      </c>
      <c r="S49" s="16" t="s">
        <v>82</v>
      </c>
      <c r="T49" s="17" t="s">
        <v>60</v>
      </c>
      <c r="U49" s="18"/>
      <c r="V49" s="16" t="s">
        <v>59</v>
      </c>
      <c r="W49" s="16" t="s">
        <v>81</v>
      </c>
      <c r="X49" s="16" t="s">
        <v>82</v>
      </c>
      <c r="Y49" s="17" t="s">
        <v>60</v>
      </c>
      <c r="AA49" s="19" t="s">
        <v>61</v>
      </c>
      <c r="AB49" s="16" t="s">
        <v>81</v>
      </c>
      <c r="AC49" s="16" t="s">
        <v>82</v>
      </c>
      <c r="AD49" s="20" t="s">
        <v>60</v>
      </c>
      <c r="AE49" s="21"/>
      <c r="AF49" s="22" t="s">
        <v>62</v>
      </c>
      <c r="AG49" s="16" t="s">
        <v>81</v>
      </c>
      <c r="AH49" s="16" t="s">
        <v>82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112</v>
      </c>
      <c r="B52" s="53">
        <v>20.053699247526247</v>
      </c>
      <c r="C52" s="53">
        <v>0.25397665951584131</v>
      </c>
      <c r="D52" s="53">
        <v>19.799722588010404</v>
      </c>
      <c r="E52" s="53">
        <v>2.6151728031235257E-2</v>
      </c>
      <c r="F52" s="53">
        <v>9.9658641349616807E-5</v>
      </c>
      <c r="G52" s="53">
        <v>2.6052069389885638E-2</v>
      </c>
      <c r="H52" s="53">
        <v>1.0665480698671872</v>
      </c>
      <c r="I52" s="53">
        <v>1.064160734938262</v>
      </c>
      <c r="J52" s="54">
        <v>352.71392136194208</v>
      </c>
      <c r="K52" s="54">
        <v>70.73218899408009</v>
      </c>
      <c r="L52" s="54">
        <v>70.538575276227164</v>
      </c>
      <c r="M52" s="53">
        <v>4.707598970145165</v>
      </c>
      <c r="N52" s="53">
        <v>0.94404773925255414</v>
      </c>
      <c r="O52" s="53">
        <v>0.94218404811220335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114</v>
      </c>
      <c r="B53" s="56">
        <v>15.331778814604524</v>
      </c>
      <c r="C53" s="62" t="s">
        <v>14</v>
      </c>
      <c r="D53" s="56">
        <v>15.331778814604524</v>
      </c>
      <c r="E53" s="56">
        <v>1.2771371752565567E-2</v>
      </c>
      <c r="F53" s="56" t="s">
        <v>14</v>
      </c>
      <c r="G53" s="56">
        <v>1.2771371752565567E-2</v>
      </c>
      <c r="H53" s="56">
        <v>0.70928286369683113</v>
      </c>
      <c r="I53" s="56">
        <v>0.70928286369683113</v>
      </c>
      <c r="J53" s="57">
        <v>265.14449558011302</v>
      </c>
      <c r="K53" s="57">
        <v>40.651367601441798</v>
      </c>
      <c r="L53" s="57">
        <v>40.651367601441798</v>
      </c>
      <c r="M53" s="56">
        <v>4.4333345981647367</v>
      </c>
      <c r="N53" s="56">
        <v>0.67970905470195375</v>
      </c>
      <c r="O53" s="56">
        <v>0.67970905470195375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116</v>
      </c>
      <c r="B54" s="56">
        <v>4.7219204329217224</v>
      </c>
      <c r="C54" s="62" t="s">
        <v>14</v>
      </c>
      <c r="D54" s="56">
        <v>4.7219204329217224</v>
      </c>
      <c r="E54" s="56">
        <v>1.3380356278669689E-2</v>
      </c>
      <c r="F54" s="56" t="s">
        <v>14</v>
      </c>
      <c r="G54" s="56">
        <v>1.3380356278669689E-2</v>
      </c>
      <c r="H54" s="56">
        <v>0.35726520617035606</v>
      </c>
      <c r="I54" s="56">
        <v>0.35726520617035606</v>
      </c>
      <c r="J54" s="57">
        <v>637.04634205421314</v>
      </c>
      <c r="K54" s="57">
        <v>30.080821392638292</v>
      </c>
      <c r="L54" s="57">
        <v>30.080821392638292</v>
      </c>
      <c r="M54" s="56">
        <v>5.5981181450581747</v>
      </c>
      <c r="N54" s="56">
        <v>0.26433868455060039</v>
      </c>
      <c r="O54" s="56">
        <v>0.26433868455060039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5" t="s">
        <v>118</v>
      </c>
      <c r="B55" s="66" t="s">
        <v>14</v>
      </c>
      <c r="C55" s="56">
        <v>0.25397665951584131</v>
      </c>
      <c r="D55" s="56">
        <v>-0.25397665951584131</v>
      </c>
      <c r="E55" s="56" t="s">
        <v>14</v>
      </c>
      <c r="F55" s="56">
        <v>9.9658641349616807E-5</v>
      </c>
      <c r="G55" s="56">
        <v>-9.9658641349616807E-5</v>
      </c>
      <c r="H55" s="56" t="s">
        <v>14</v>
      </c>
      <c r="I55" s="56">
        <v>-2.3873349289251539E-3</v>
      </c>
      <c r="J55" s="57" t="s">
        <v>14</v>
      </c>
      <c r="K55" s="57" t="s">
        <v>14</v>
      </c>
      <c r="L55" s="57">
        <v>-0.19361371785293199</v>
      </c>
      <c r="M55" s="56" t="s">
        <v>14</v>
      </c>
      <c r="N55" s="56" t="s">
        <v>14</v>
      </c>
      <c r="O55" s="56">
        <v>-1.8636911403508351E-3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63" t="s">
        <v>119</v>
      </c>
      <c r="B56" s="64">
        <v>7.5513397432288079</v>
      </c>
      <c r="C56" s="64">
        <v>5.1991668287675021E-2</v>
      </c>
      <c r="D56" s="64">
        <v>7.4993480749411328</v>
      </c>
      <c r="E56" s="64">
        <v>0.53450622193316388</v>
      </c>
      <c r="F56" s="64">
        <v>1.2997917071918755E-4</v>
      </c>
      <c r="G56" s="64">
        <v>0.53437624276244466</v>
      </c>
      <c r="H56" s="64">
        <v>0.34401745224282909</v>
      </c>
      <c r="I56" s="64">
        <v>0.33938053185432138</v>
      </c>
      <c r="J56" s="65">
        <v>228.90289742338913</v>
      </c>
      <c r="K56" s="65">
        <v>17.285235466534655</v>
      </c>
      <c r="L56" s="65">
        <v>16.871294380585539</v>
      </c>
      <c r="M56" s="64">
        <v>6.9267561696283337</v>
      </c>
      <c r="N56" s="64">
        <v>0.52306289155369778</v>
      </c>
      <c r="O56" s="64">
        <v>0.52162338263843566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5" t="s">
        <v>120</v>
      </c>
      <c r="B57" s="56">
        <v>7.5513397432288079</v>
      </c>
      <c r="C57" s="56">
        <v>5.1991668287675021E-2</v>
      </c>
      <c r="D57" s="56">
        <v>7.4993480749411328</v>
      </c>
      <c r="E57" s="56">
        <v>0.53450622193316388</v>
      </c>
      <c r="F57" s="56">
        <v>1.2997917071918755E-4</v>
      </c>
      <c r="G57" s="56">
        <v>0.53437624276244466</v>
      </c>
      <c r="H57" s="56">
        <v>0.34401745224282909</v>
      </c>
      <c r="I57" s="56">
        <v>0.33938053185432138</v>
      </c>
      <c r="J57" s="57">
        <v>228.90289742338916</v>
      </c>
      <c r="K57" s="57">
        <v>17.285235466534655</v>
      </c>
      <c r="L57" s="57">
        <v>16.871294380585539</v>
      </c>
      <c r="M57" s="56">
        <v>6.9267561696283337</v>
      </c>
      <c r="N57" s="56">
        <v>0.52306289155369778</v>
      </c>
      <c r="O57" s="56">
        <v>0.52162338263843566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121</v>
      </c>
      <c r="B58" s="59">
        <v>1.6635863878588273</v>
      </c>
      <c r="C58" s="61" t="s">
        <v>14</v>
      </c>
      <c r="D58" s="59">
        <v>1.6635863878588273</v>
      </c>
      <c r="E58" s="59">
        <v>9.2000950965785061E-2</v>
      </c>
      <c r="F58" s="59" t="s">
        <v>14</v>
      </c>
      <c r="G58" s="59">
        <v>9.2000950965785061E-2</v>
      </c>
      <c r="H58" s="59">
        <v>6.7969560461559955E-2</v>
      </c>
      <c r="I58" s="59">
        <v>6.7969560461559955E-2</v>
      </c>
      <c r="J58" s="60">
        <v>210.80420718255021</v>
      </c>
      <c r="K58" s="60">
        <v>3.5069100957226262</v>
      </c>
      <c r="L58" s="60">
        <v>3.5069100957226262</v>
      </c>
      <c r="M58" s="59">
        <v>5.3919821132093695</v>
      </c>
      <c r="N58" s="59">
        <v>8.970028047113382E-2</v>
      </c>
      <c r="O58" s="59">
        <v>8.970028047113382E-2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8" t="s">
        <v>122</v>
      </c>
      <c r="B59" s="59">
        <v>5.8877533553699806</v>
      </c>
      <c r="C59" s="59">
        <v>5.1991668287675021E-2</v>
      </c>
      <c r="D59" s="59">
        <v>5.8357616870823055</v>
      </c>
      <c r="E59" s="59">
        <v>0.44250527096737879</v>
      </c>
      <c r="F59" s="59">
        <v>1.2997917071918755E-4</v>
      </c>
      <c r="G59" s="59">
        <v>0.44237529179665963</v>
      </c>
      <c r="H59" s="59">
        <v>0.27604789178126915</v>
      </c>
      <c r="I59" s="59">
        <v>0.27141097139276144</v>
      </c>
      <c r="J59" s="60">
        <v>234.01668750688034</v>
      </c>
      <c r="K59" s="60">
        <v>13.778325370812027</v>
      </c>
      <c r="L59" s="60">
        <v>13.364384284862911</v>
      </c>
      <c r="M59" s="59">
        <v>7.3604070164948672</v>
      </c>
      <c r="N59" s="59">
        <v>0.43336261108256396</v>
      </c>
      <c r="O59" s="59">
        <v>0.43192310216730184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63" t="s">
        <v>125</v>
      </c>
      <c r="B60" s="64">
        <v>55.233305844246992</v>
      </c>
      <c r="C60" s="64">
        <v>33.329999999999984</v>
      </c>
      <c r="D60" s="64">
        <v>21.903305844247011</v>
      </c>
      <c r="E60" s="64">
        <v>2.123926949369082</v>
      </c>
      <c r="F60" s="64">
        <v>1.3812289584100592</v>
      </c>
      <c r="G60" s="64">
        <v>0.74269799095902278</v>
      </c>
      <c r="H60" s="64">
        <v>2.894470965473372</v>
      </c>
      <c r="I60" s="64">
        <v>1.0122169232255378</v>
      </c>
      <c r="J60" s="65">
        <v>340.76864192319232</v>
      </c>
      <c r="K60" s="65">
        <v>188.2177862147237</v>
      </c>
      <c r="L60" s="65">
        <v>64.999780378531398</v>
      </c>
      <c r="M60" s="64">
        <v>3.9487215935465083</v>
      </c>
      <c r="N60" s="64">
        <v>2.1810094747013666</v>
      </c>
      <c r="O60" s="64">
        <v>0.85766639371914555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63" t="s">
        <v>126</v>
      </c>
      <c r="B61" s="71" t="s">
        <v>14</v>
      </c>
      <c r="C61" s="64">
        <v>33.034031672196456</v>
      </c>
      <c r="D61" s="64">
        <v>-33.034031672196456</v>
      </c>
      <c r="E61" s="64" t="s">
        <v>14</v>
      </c>
      <c r="F61" s="64">
        <v>7.9757337984526167E-2</v>
      </c>
      <c r="G61" s="64">
        <v>-7.9757337984526167E-2</v>
      </c>
      <c r="H61" s="64" t="s">
        <v>14</v>
      </c>
      <c r="I61" s="64">
        <v>-1.6840450146359498</v>
      </c>
      <c r="J61" s="65" t="s">
        <v>14</v>
      </c>
      <c r="K61" s="65" t="s">
        <v>14</v>
      </c>
      <c r="L61" s="65">
        <v>-139.53114973610545</v>
      </c>
      <c r="M61" s="64" t="s">
        <v>14</v>
      </c>
      <c r="N61" s="64" t="s">
        <v>14</v>
      </c>
      <c r="O61" s="64">
        <v>-1.3492355353794414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127</v>
      </c>
      <c r="B62" s="64">
        <v>16.890366158981479</v>
      </c>
      <c r="C62" s="64">
        <v>33.329999999999977</v>
      </c>
      <c r="D62" s="64">
        <v>-16.439633841018498</v>
      </c>
      <c r="E62" s="64">
        <v>1.205634725401014</v>
      </c>
      <c r="F62" s="64">
        <v>2.2573466799079718</v>
      </c>
      <c r="G62" s="64">
        <v>-1.0517119545069578</v>
      </c>
      <c r="H62" s="64">
        <v>0.87830968454692016</v>
      </c>
      <c r="I62" s="64">
        <v>-0.82638572795669629</v>
      </c>
      <c r="J62" s="65">
        <v>295.49513118913882</v>
      </c>
      <c r="K62" s="65">
        <v>49.910209639808222</v>
      </c>
      <c r="L62" s="65">
        <v>-47.978472422635654</v>
      </c>
      <c r="M62" s="64">
        <v>6.9497324821917177</v>
      </c>
      <c r="N62" s="64">
        <v>1.1738352633118534</v>
      </c>
      <c r="O62" s="64">
        <v>-1.0254061227637441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63" t="s">
        <v>128</v>
      </c>
      <c r="B63" s="64">
        <v>-6.2940109137177125E-2</v>
      </c>
      <c r="C63" s="67" t="s">
        <v>14</v>
      </c>
      <c r="D63" s="64">
        <v>-6.2940109137177125E-2</v>
      </c>
      <c r="E63" s="64">
        <v>-1.6219333679739698E-5</v>
      </c>
      <c r="F63" s="64" t="s">
        <v>14</v>
      </c>
      <c r="G63" s="64">
        <v>-1.6219333679739698E-5</v>
      </c>
      <c r="H63" s="64">
        <v>-0.11231577276148823</v>
      </c>
      <c r="I63" s="64">
        <v>-0.11231577276148823</v>
      </c>
      <c r="J63" s="65" t="s">
        <v>14</v>
      </c>
      <c r="K63" s="65" t="s">
        <v>14</v>
      </c>
      <c r="L63" s="65" t="s">
        <v>14</v>
      </c>
      <c r="M63" s="64" t="s">
        <v>14</v>
      </c>
      <c r="N63" s="64" t="s">
        <v>14</v>
      </c>
      <c r="O63" s="64" t="s">
        <v>14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63" t="s">
        <v>129</v>
      </c>
      <c r="B64" s="64">
        <v>0.33422911515365583</v>
      </c>
      <c r="C64" s="67" t="s">
        <v>14</v>
      </c>
      <c r="D64" s="64">
        <v>0.33422911515365583</v>
      </c>
      <c r="E64" s="64">
        <v>3.342291151536558E-6</v>
      </c>
      <c r="F64" s="64" t="s">
        <v>14</v>
      </c>
      <c r="G64" s="64">
        <v>3.342291151536558E-6</v>
      </c>
      <c r="H64" s="64">
        <v>2.636700066535675E-3</v>
      </c>
      <c r="I64" s="64">
        <v>2.636700066535675E-3</v>
      </c>
      <c r="J64" s="65">
        <v>9.9999999999999395E-4</v>
      </c>
      <c r="K64" s="65">
        <v>3.342291151536558E-6</v>
      </c>
      <c r="L64" s="65">
        <v>3.342291151536558E-6</v>
      </c>
      <c r="M64" s="64">
        <v>9.9999999999999395E-4</v>
      </c>
      <c r="N64" s="64">
        <v>3.342291151536558E-6</v>
      </c>
      <c r="O64" s="64">
        <v>3.342291151536558E-6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68" t="s">
        <v>37</v>
      </c>
      <c r="B65" s="69">
        <v>100</v>
      </c>
      <c r="C65" s="69">
        <v>99.999999999999929</v>
      </c>
      <c r="D65" s="69">
        <v>6.6613381477509392E-14</v>
      </c>
      <c r="E65" s="69">
        <v>3.8902067476919666</v>
      </c>
      <c r="F65" s="69">
        <v>3.7185626141146257</v>
      </c>
      <c r="G65" s="69">
        <v>0.17164413357734087</v>
      </c>
      <c r="H65" s="69">
        <v>5.0736670994353563</v>
      </c>
      <c r="I65" s="69">
        <v>-0.20435162526947703</v>
      </c>
      <c r="J65" s="70">
        <v>326.14542365743773</v>
      </c>
      <c r="K65" s="70">
        <v>326.14542365743785</v>
      </c>
      <c r="L65" s="70">
        <v>-35.099968781105815</v>
      </c>
      <c r="M65" s="69">
        <v>4.8219587111106232</v>
      </c>
      <c r="N65" s="69">
        <v>4.8219587111106232</v>
      </c>
      <c r="O65" s="69">
        <v>-5.3164491382250212E-2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51">
      <c r="A1" s="2" t="s">
        <v>0</v>
      </c>
      <c r="B1" s="3" t="s">
        <v>85</v>
      </c>
      <c r="C1" s="3" t="s">
        <v>2</v>
      </c>
    </row>
    <row r="2" spans="1:8">
      <c r="A2" s="4" t="s">
        <v>3</v>
      </c>
      <c r="B2" s="9">
        <v>5.1039209901919094</v>
      </c>
      <c r="C2" s="9">
        <v>6.0434449650283151</v>
      </c>
    </row>
    <row r="3" spans="1:8">
      <c r="A3" s="4" t="s">
        <v>4</v>
      </c>
      <c r="B3" s="10">
        <v>189.8905278833879</v>
      </c>
      <c r="C3" s="10">
        <v>42.432274306040142</v>
      </c>
    </row>
    <row r="4" spans="1:8">
      <c r="A4" s="4" t="s">
        <v>5</v>
      </c>
      <c r="B4" s="9">
        <v>5.1940541690682176</v>
      </c>
      <c r="C4" s="9">
        <v>3.915338583761494</v>
      </c>
    </row>
    <row r="5" spans="1:8">
      <c r="A5" s="4" t="s">
        <v>6</v>
      </c>
      <c r="B5" s="9">
        <v>8.9120203543583738</v>
      </c>
      <c r="C5" s="9">
        <v>8.0974581706530984</v>
      </c>
    </row>
    <row r="6" spans="1:8">
      <c r="A6" s="4" t="s">
        <v>7</v>
      </c>
      <c r="B6" s="9">
        <v>4.3730397859326846</v>
      </c>
      <c r="C6" s="9">
        <v>2.5663455010456402</v>
      </c>
    </row>
    <row r="7" spans="1:8">
      <c r="A7" s="4" t="s">
        <v>8</v>
      </c>
      <c r="B7" s="9">
        <v>4.3328770320310293</v>
      </c>
      <c r="C7" s="9">
        <v>2.5625300304363869</v>
      </c>
    </row>
    <row r="8" spans="1:8">
      <c r="A8" s="4" t="s">
        <v>9</v>
      </c>
      <c r="B8" s="9">
        <v>3.2491691822216322</v>
      </c>
      <c r="C8" s="9">
        <v>3.075274086793272</v>
      </c>
    </row>
    <row r="9" spans="1:8">
      <c r="A9" s="4" t="s">
        <v>10</v>
      </c>
      <c r="B9" s="9" t="s">
        <v>11</v>
      </c>
      <c r="C9" s="9" t="s">
        <v>12</v>
      </c>
    </row>
    <row r="10" spans="1:8">
      <c r="A10" s="4" t="s">
        <v>13</v>
      </c>
      <c r="B10" s="39">
        <v>609429714.25672853</v>
      </c>
      <c r="C10" s="7" t="s">
        <v>14</v>
      </c>
    </row>
    <row r="11" spans="1:8">
      <c r="B11" s="1"/>
    </row>
    <row r="12" spans="1:8" ht="51">
      <c r="A12" s="5" t="s">
        <v>15</v>
      </c>
      <c r="B12" s="3" t="s">
        <v>85</v>
      </c>
      <c r="C12" s="3" t="s">
        <v>2</v>
      </c>
    </row>
    <row r="13" spans="1:8">
      <c r="A13" s="6" t="s">
        <v>16</v>
      </c>
      <c r="B13" s="9">
        <v>18.86923322218075</v>
      </c>
      <c r="C13" s="9">
        <v>71.440060046559339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1.252115645574948</v>
      </c>
      <c r="C14" s="12">
        <v>4.1253122696163071</v>
      </c>
      <c r="E14" s="40" t="s">
        <v>22</v>
      </c>
      <c r="F14" s="41">
        <v>6.5026979756322587E-2</v>
      </c>
      <c r="G14" s="41">
        <v>2.3062687079547631E-2</v>
      </c>
      <c r="H14" s="41">
        <v>4.196429267677497E-2</v>
      </c>
    </row>
    <row r="15" spans="1:8">
      <c r="A15" s="4" t="s">
        <v>23</v>
      </c>
      <c r="B15" s="9">
        <v>5.4535406460163562</v>
      </c>
      <c r="C15" s="12">
        <v>10.661300686190559</v>
      </c>
      <c r="E15" s="40" t="s">
        <v>24</v>
      </c>
      <c r="F15" s="41">
        <v>6.7033494161036419E-2</v>
      </c>
      <c r="G15" s="41">
        <v>0.1202014998773101</v>
      </c>
      <c r="H15" s="41">
        <v>-5.316800571627367E-2</v>
      </c>
    </row>
    <row r="16" spans="1:8">
      <c r="A16" s="4" t="s">
        <v>25</v>
      </c>
      <c r="B16" s="9">
        <v>25.503883748922771</v>
      </c>
      <c r="C16" s="12">
        <v>13.7635494726615</v>
      </c>
      <c r="E16" s="40" t="s">
        <v>26</v>
      </c>
      <c r="F16" s="41">
        <v>0.1189226651154376</v>
      </c>
      <c r="G16" s="41">
        <v>0.28423582329611452</v>
      </c>
      <c r="H16" s="41">
        <v>-0.16531315818067691</v>
      </c>
    </row>
    <row r="17" spans="1:8">
      <c r="A17" s="4" t="s">
        <v>27</v>
      </c>
      <c r="B17" s="9">
        <v>15.88806220863972</v>
      </c>
      <c r="C17" s="12">
        <v>0</v>
      </c>
      <c r="E17" s="40" t="s">
        <v>28</v>
      </c>
      <c r="F17" s="41">
        <v>0.2352118857155705</v>
      </c>
      <c r="G17" s="41">
        <v>0.55199783133138536</v>
      </c>
      <c r="H17" s="41">
        <v>-0.31678594561581491</v>
      </c>
    </row>
    <row r="18" spans="1:8">
      <c r="A18" s="4" t="s">
        <v>29</v>
      </c>
      <c r="B18" s="12">
        <v>24.211513275478591</v>
      </c>
      <c r="C18" s="12">
        <v>0</v>
      </c>
      <c r="E18" s="40" t="s">
        <v>30</v>
      </c>
      <c r="F18" s="41">
        <v>0.29873156503260251</v>
      </c>
      <c r="G18" s="41">
        <v>0.79566777171942737</v>
      </c>
      <c r="H18" s="41">
        <v>-0.49693620668682492</v>
      </c>
    </row>
    <row r="19" spans="1:8">
      <c r="A19" s="4" t="s">
        <v>31</v>
      </c>
      <c r="B19" s="12">
        <v>3.1448683336911012</v>
      </c>
      <c r="C19" s="12">
        <v>0</v>
      </c>
      <c r="E19" s="40" t="s">
        <v>32</v>
      </c>
      <c r="F19" s="41">
        <v>0.63605546898584275</v>
      </c>
      <c r="G19" s="41">
        <v>0.89059970641538677</v>
      </c>
      <c r="H19" s="41">
        <v>-0.25454423742954391</v>
      </c>
    </row>
    <row r="20" spans="1:8">
      <c r="A20" s="4" t="s">
        <v>33</v>
      </c>
      <c r="B20" s="12">
        <v>0.17642267941936501</v>
      </c>
      <c r="C20" s="12">
        <v>9.777524972079071E-3</v>
      </c>
      <c r="E20" s="40" t="s">
        <v>34</v>
      </c>
      <c r="F20" s="41">
        <v>1.4329907250452469</v>
      </c>
      <c r="G20" s="41">
        <v>0.76652644917812851</v>
      </c>
      <c r="H20" s="41">
        <v>0.66646427586711843</v>
      </c>
    </row>
    <row r="21" spans="1:8">
      <c r="A21" s="4" t="s">
        <v>35</v>
      </c>
      <c r="B21" s="12">
        <v>5.5003602400763603</v>
      </c>
      <c r="C21" s="12">
        <v>0</v>
      </c>
      <c r="E21" s="40" t="s">
        <v>36</v>
      </c>
      <c r="F21" s="41">
        <v>0.51668029294850515</v>
      </c>
      <c r="G21" s="41">
        <v>0.44217004280291439</v>
      </c>
      <c r="H21" s="41">
        <v>7.4510250145590817E-2</v>
      </c>
    </row>
    <row r="22" spans="1:8">
      <c r="A22" s="2" t="s">
        <v>37</v>
      </c>
      <c r="B22" s="13">
        <f>SUM(B13:B21)</f>
        <v>99.999999999999972</v>
      </c>
      <c r="C22" s="13">
        <f>SUM(C13:C21)</f>
        <v>99.999999999999773</v>
      </c>
      <c r="E22" s="40" t="s">
        <v>38</v>
      </c>
      <c r="F22" s="41">
        <v>0.82168359460906049</v>
      </c>
      <c r="G22" s="41">
        <v>0.57934744814972539</v>
      </c>
      <c r="H22" s="41">
        <v>0.2423361464593351</v>
      </c>
    </row>
    <row r="23" spans="1:8">
      <c r="A23" s="14"/>
      <c r="B23" s="15"/>
      <c r="C23" s="15"/>
      <c r="E23" s="40" t="s">
        <v>39</v>
      </c>
      <c r="F23" s="41">
        <v>0.37184225988527858</v>
      </c>
      <c r="G23" s="41">
        <v>0.92667732280285708</v>
      </c>
      <c r="H23" s="41">
        <v>-0.55483506291757856</v>
      </c>
    </row>
    <row r="24" spans="1:8">
      <c r="E24" s="40" t="s">
        <v>40</v>
      </c>
      <c r="F24" s="41">
        <v>0.53947354370110168</v>
      </c>
      <c r="G24" s="41">
        <v>0.66103963404342492</v>
      </c>
      <c r="H24" s="41">
        <v>-0.1215660903423231</v>
      </c>
    </row>
    <row r="25" spans="1:8" ht="51">
      <c r="A25" s="5" t="s">
        <v>41</v>
      </c>
      <c r="B25" s="3" t="s">
        <v>85</v>
      </c>
      <c r="C25" s="3" t="s">
        <v>2</v>
      </c>
    </row>
    <row r="26" spans="1:8">
      <c r="A26" s="6" t="s">
        <v>42</v>
      </c>
      <c r="B26" s="9">
        <v>2.7608941533131102</v>
      </c>
      <c r="C26" s="9">
        <v>3.1993477163689819</v>
      </c>
    </row>
    <row r="27" spans="1:8">
      <c r="A27" s="4" t="s">
        <v>43</v>
      </c>
      <c r="B27" s="9">
        <v>15.850855058168969</v>
      </c>
      <c r="C27" s="12">
        <v>71.000261793227153</v>
      </c>
    </row>
    <row r="28" spans="1:8">
      <c r="A28" s="4" t="s">
        <v>44</v>
      </c>
      <c r="B28" s="9">
        <v>3.8758256991662972</v>
      </c>
      <c r="C28" s="12">
        <v>10.21860298394729</v>
      </c>
    </row>
    <row r="29" spans="1:8">
      <c r="A29" s="4" t="s">
        <v>45</v>
      </c>
      <c r="B29" s="9">
        <v>22.79764522829457</v>
      </c>
      <c r="C29" s="12">
        <v>13.874627472551611</v>
      </c>
    </row>
    <row r="30" spans="1:8">
      <c r="A30" s="4" t="s">
        <v>46</v>
      </c>
      <c r="B30" s="9">
        <v>15.66169026324947</v>
      </c>
      <c r="C30" s="12">
        <v>6.1691987088617298E-2</v>
      </c>
    </row>
    <row r="31" spans="1:8">
      <c r="A31" s="4" t="s">
        <v>47</v>
      </c>
      <c r="B31" s="12">
        <v>24.339570334485689</v>
      </c>
      <c r="C31" s="12">
        <v>0</v>
      </c>
    </row>
    <row r="32" spans="1:8">
      <c r="A32" s="4" t="s">
        <v>48</v>
      </c>
      <c r="B32" s="12">
        <v>3.3428381086377779</v>
      </c>
      <c r="C32" s="12">
        <v>0</v>
      </c>
    </row>
    <row r="33" spans="1:3">
      <c r="A33" s="4" t="s">
        <v>49</v>
      </c>
      <c r="B33" s="12">
        <v>5.8703209146077064</v>
      </c>
      <c r="C33" s="12">
        <v>1.645468046816088</v>
      </c>
    </row>
    <row r="34" spans="1:3">
      <c r="A34" s="4" t="s">
        <v>35</v>
      </c>
      <c r="B34" s="12">
        <v>5.5003602400763603</v>
      </c>
      <c r="C34" s="12">
        <v>0</v>
      </c>
    </row>
    <row r="35" spans="1:3">
      <c r="A35" s="2" t="s">
        <v>37</v>
      </c>
      <c r="B35" s="13">
        <f>SUM(B26:B34)</f>
        <v>99.999999999999943</v>
      </c>
      <c r="C35" s="13">
        <f>SUM(C26:C34)</f>
        <v>99.999999999999744</v>
      </c>
    </row>
    <row r="37" spans="1:3" ht="51">
      <c r="A37" s="5" t="s">
        <v>50</v>
      </c>
      <c r="B37" s="3" t="s">
        <v>85</v>
      </c>
      <c r="C37" s="3" t="s">
        <v>2</v>
      </c>
    </row>
    <row r="38" spans="1:3">
      <c r="A38" s="6" t="s">
        <v>51</v>
      </c>
      <c r="B38" s="9">
        <v>16.851484818597498</v>
      </c>
      <c r="C38" s="9">
        <v>71.283055386579491</v>
      </c>
    </row>
    <row r="39" spans="1:3">
      <c r="A39" s="4" t="s">
        <v>52</v>
      </c>
      <c r="B39" s="9">
        <v>1.068824676700499</v>
      </c>
      <c r="C39" s="12">
        <v>4.0727545135917174</v>
      </c>
    </row>
    <row r="40" spans="1:3">
      <c r="A40" s="4" t="s">
        <v>53</v>
      </c>
      <c r="B40" s="9">
        <v>7.5853216556695608</v>
      </c>
      <c r="C40" s="12">
        <v>10.40802726027599</v>
      </c>
    </row>
    <row r="41" spans="1:3">
      <c r="A41" s="4" t="s">
        <v>54</v>
      </c>
      <c r="B41" s="9">
        <v>19.640050419205242</v>
      </c>
      <c r="C41" s="12">
        <v>12.7335641360505</v>
      </c>
    </row>
    <row r="42" spans="1:3">
      <c r="A42" s="4" t="s">
        <v>55</v>
      </c>
      <c r="B42" s="9">
        <v>20.376849264625701</v>
      </c>
      <c r="C42" s="12">
        <v>0.76893806967724732</v>
      </c>
    </row>
    <row r="43" spans="1:3">
      <c r="A43" s="4" t="s">
        <v>56</v>
      </c>
      <c r="B43" s="12">
        <v>22.776720532023411</v>
      </c>
      <c r="C43" s="12">
        <v>2.269896606123244E-3</v>
      </c>
    </row>
    <row r="44" spans="1:3">
      <c r="A44" s="4" t="s">
        <v>57</v>
      </c>
      <c r="B44" s="12">
        <v>0.88608536546154726</v>
      </c>
      <c r="C44" s="12">
        <v>0</v>
      </c>
    </row>
    <row r="45" spans="1:3">
      <c r="A45" s="4" t="s">
        <v>58</v>
      </c>
      <c r="B45" s="12">
        <v>5.314303027640122</v>
      </c>
      <c r="C45" s="12">
        <v>0.73139073721869219</v>
      </c>
    </row>
    <row r="46" spans="1:3">
      <c r="A46" s="4" t="s">
        <v>35</v>
      </c>
      <c r="B46" s="12">
        <v>5.5003602400763603</v>
      </c>
      <c r="C46" s="12">
        <v>0</v>
      </c>
    </row>
    <row r="47" spans="1:3">
      <c r="A47" s="2" t="s">
        <v>37</v>
      </c>
      <c r="B47" s="13">
        <f>SUM(B38:B46)</f>
        <v>99.999999999999957</v>
      </c>
      <c r="C47" s="13">
        <f>SUM(C38:C46)</f>
        <v>99.999999999999758</v>
      </c>
    </row>
    <row r="49" spans="1:35" ht="51.75">
      <c r="Q49" s="16" t="s">
        <v>59</v>
      </c>
      <c r="R49" s="16" t="s">
        <v>85</v>
      </c>
      <c r="S49" s="16" t="s">
        <v>2</v>
      </c>
      <c r="T49" s="17" t="s">
        <v>60</v>
      </c>
      <c r="U49" s="18"/>
      <c r="V49" s="16" t="s">
        <v>59</v>
      </c>
      <c r="W49" s="16" t="s">
        <v>85</v>
      </c>
      <c r="X49" s="16" t="s">
        <v>2</v>
      </c>
      <c r="Y49" s="17" t="s">
        <v>60</v>
      </c>
      <c r="AA49" s="19" t="s">
        <v>61</v>
      </c>
      <c r="AB49" s="16" t="s">
        <v>85</v>
      </c>
      <c r="AC49" s="16" t="s">
        <v>2</v>
      </c>
      <c r="AD49" s="20" t="s">
        <v>60</v>
      </c>
      <c r="AE49" s="21"/>
      <c r="AF49" s="22" t="s">
        <v>62</v>
      </c>
      <c r="AG49" s="16" t="s">
        <v>85</v>
      </c>
      <c r="AH49" s="16" t="s">
        <v>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19.430805506396993</v>
      </c>
      <c r="C52" s="53">
        <v>38.280373394761959</v>
      </c>
      <c r="D52" s="53">
        <v>-18.849567888364966</v>
      </c>
      <c r="E52" s="53">
        <v>1.3201450168896522</v>
      </c>
      <c r="F52" s="53">
        <v>2.3313901530361694</v>
      </c>
      <c r="G52" s="53">
        <v>-1.0112451361465171</v>
      </c>
      <c r="H52" s="53">
        <v>0.63600921325963478</v>
      </c>
      <c r="I52" s="53">
        <v>-7.5984389192675694E-2</v>
      </c>
      <c r="J52" s="54">
        <v>4.9015557464986399</v>
      </c>
      <c r="K52" s="54">
        <v>0.952411763889776</v>
      </c>
      <c r="L52" s="54">
        <v>0.61324705214330855</v>
      </c>
      <c r="M52" s="53">
        <v>-0.32958795937198138</v>
      </c>
      <c r="N52" s="53">
        <v>-6.404159535807244E-2</v>
      </c>
      <c r="O52" s="53">
        <v>-0.14928947688325062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0.37196202399889339</v>
      </c>
      <c r="C53" s="56">
        <v>2.283724679145247</v>
      </c>
      <c r="D53" s="56">
        <v>-1.9117626551463534</v>
      </c>
      <c r="E53" s="56">
        <v>4.6214892814777857E-2</v>
      </c>
      <c r="F53" s="56">
        <v>8.7108666114330977E-2</v>
      </c>
      <c r="G53" s="56">
        <v>-4.089377329955312E-2</v>
      </c>
      <c r="H53" s="56">
        <v>1.1462760239096243E-2</v>
      </c>
      <c r="I53" s="56">
        <v>-2.824969449115753E-2</v>
      </c>
      <c r="J53" s="57">
        <v>50.929089417492406</v>
      </c>
      <c r="K53" s="57">
        <v>0.189436871801511</v>
      </c>
      <c r="L53" s="57">
        <v>-0.19732502630134094</v>
      </c>
      <c r="M53" s="56">
        <v>12.128841466192927</v>
      </c>
      <c r="N53" s="56">
        <v>4.511468420526827E-2</v>
      </c>
      <c r="O53" s="56">
        <v>-4.0133197319909907E-2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14.454669169113469</v>
      </c>
      <c r="C54" s="56">
        <v>35.996648715616708</v>
      </c>
      <c r="D54" s="56">
        <v>-21.541979546503239</v>
      </c>
      <c r="E54" s="56">
        <v>2.1746006366877912</v>
      </c>
      <c r="F54" s="56">
        <v>2.2442814869218384</v>
      </c>
      <c r="G54" s="56">
        <v>-6.9680850234047131E-2</v>
      </c>
      <c r="H54" s="56">
        <v>0.47879882431118609</v>
      </c>
      <c r="I54" s="56">
        <v>-0.19348232341087063</v>
      </c>
      <c r="J54" s="57">
        <v>1.7582555391031438</v>
      </c>
      <c r="K54" s="57">
        <v>0.25415002132497194</v>
      </c>
      <c r="L54" s="57">
        <v>0.30174720768135643</v>
      </c>
      <c r="M54" s="56">
        <v>-0.75516276634393187</v>
      </c>
      <c r="N54" s="56">
        <v>-0.1091562795633407</v>
      </c>
      <c r="O54" s="56">
        <v>-0.1091562795633407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3.6502339261100678</v>
      </c>
      <c r="C55" s="59">
        <v>35.996648715616708</v>
      </c>
      <c r="D55" s="59">
        <v>-32.346414789506639</v>
      </c>
      <c r="E55" s="59">
        <v>0.35593529413602676</v>
      </c>
      <c r="F55" s="59">
        <v>2.2442814869218384</v>
      </c>
      <c r="G55" s="59">
        <v>-1.8883461927858116</v>
      </c>
      <c r="H55" s="59">
        <v>8.2248095030893101E-2</v>
      </c>
      <c r="I55" s="59">
        <v>-0.59003305269116357</v>
      </c>
      <c r="J55" s="60">
        <v>2.0544772297784477</v>
      </c>
      <c r="K55" s="60">
        <v>7.4993224845579215E-2</v>
      </c>
      <c r="L55" s="60">
        <v>0.12259041120196372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10.8044352430034</v>
      </c>
      <c r="C56" s="61" t="s">
        <v>14</v>
      </c>
      <c r="D56" s="59">
        <v>10.8044352430034</v>
      </c>
      <c r="E56" s="59">
        <v>1.016243487181727</v>
      </c>
      <c r="F56" s="59" t="s">
        <v>14</v>
      </c>
      <c r="G56" s="59">
        <v>1.016243487181727</v>
      </c>
      <c r="H56" s="59">
        <v>0.26366948242640709</v>
      </c>
      <c r="I56" s="59">
        <v>0.26366948242640709</v>
      </c>
      <c r="J56" s="60">
        <v>1.694832972619867</v>
      </c>
      <c r="K56" s="60">
        <v>0.18311713100378307</v>
      </c>
      <c r="L56" s="60">
        <v>0.18311713100378307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0.91288238767724561</v>
      </c>
      <c r="F57" s="59" t="s">
        <v>14</v>
      </c>
      <c r="G57" s="59">
        <v>0.91288238767724561</v>
      </c>
      <c r="H57" s="59">
        <v>0.14737112565409477</v>
      </c>
      <c r="I57" s="59">
        <v>0.14737112565409477</v>
      </c>
      <c r="J57" s="60">
        <v>-0.12246904780056596</v>
      </c>
      <c r="K57" s="60">
        <v>-6.7991002966172609E-3</v>
      </c>
      <c r="L57" s="60">
        <v>-6.7991002966172609E-3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-0.11046053230720779</v>
      </c>
      <c r="F58" s="59" t="s">
        <v>14</v>
      </c>
      <c r="G58" s="59">
        <v>-0.11046053230720779</v>
      </c>
      <c r="H58" s="59">
        <v>-1.4489878800208866E-2</v>
      </c>
      <c r="I58" s="59">
        <v>-1.4489878800208866E-2</v>
      </c>
      <c r="J58" s="60">
        <v>-0.24120295760334901</v>
      </c>
      <c r="K58" s="60">
        <v>2.8387657722268997E-3</v>
      </c>
      <c r="L58" s="60">
        <v>2.8387657722268997E-3</v>
      </c>
      <c r="M58" s="59">
        <v>9.2747410615007748</v>
      </c>
      <c r="N58" s="59">
        <v>-0.1091562795633407</v>
      </c>
      <c r="O58" s="59">
        <v>-0.1091562795633407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109</v>
      </c>
      <c r="B59" s="56">
        <v>0.35911407539216145</v>
      </c>
      <c r="C59" s="62" t="s">
        <v>14</v>
      </c>
      <c r="D59" s="56">
        <v>0.35911407539216145</v>
      </c>
      <c r="E59" s="56">
        <v>5.2602604529962439E-2</v>
      </c>
      <c r="F59" s="56" t="s">
        <v>14</v>
      </c>
      <c r="G59" s="56">
        <v>5.2602604529962439E-2</v>
      </c>
      <c r="H59" s="56">
        <v>1.389629024339783E-2</v>
      </c>
      <c r="I59" s="56">
        <v>1.389629024339783E-2</v>
      </c>
      <c r="J59" s="57">
        <v>49.768734061187097</v>
      </c>
      <c r="K59" s="57">
        <v>0.17872652915821574</v>
      </c>
      <c r="L59" s="57">
        <v>0.17872652915821574</v>
      </c>
      <c r="M59" s="56" t="s">
        <v>14</v>
      </c>
      <c r="N59" s="56" t="s">
        <v>14</v>
      </c>
      <c r="O59" s="56" t="s">
        <v>14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8" t="s">
        <v>110</v>
      </c>
      <c r="B60" s="59">
        <v>0.35911407539216145</v>
      </c>
      <c r="C60" s="61" t="s">
        <v>14</v>
      </c>
      <c r="D60" s="59">
        <v>0.35911407539216145</v>
      </c>
      <c r="E60" s="59">
        <v>5.2602604529962439E-2</v>
      </c>
      <c r="F60" s="59" t="s">
        <v>14</v>
      </c>
      <c r="G60" s="59">
        <v>5.2602604529962439E-2</v>
      </c>
      <c r="H60" s="59">
        <v>1.389629024339783E-2</v>
      </c>
      <c r="I60" s="59">
        <v>1.389629024339783E-2</v>
      </c>
      <c r="J60" s="60">
        <v>49.768734061187097</v>
      </c>
      <c r="K60" s="60">
        <v>0.17872652915821574</v>
      </c>
      <c r="L60" s="60">
        <v>0.17872652915821574</v>
      </c>
      <c r="M60" s="59" t="s">
        <v>14</v>
      </c>
      <c r="N60" s="59" t="s">
        <v>14</v>
      </c>
      <c r="O60" s="59" t="s">
        <v>14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111</v>
      </c>
      <c r="B61" s="56">
        <v>4.2450602378924698</v>
      </c>
      <c r="C61" s="62" t="s">
        <v>14</v>
      </c>
      <c r="D61" s="56">
        <v>4.2450602378924698</v>
      </c>
      <c r="E61" s="56">
        <v>-0.95327311714287899</v>
      </c>
      <c r="F61" s="56" t="s">
        <v>14</v>
      </c>
      <c r="G61" s="56">
        <v>-0.95327311714287899</v>
      </c>
      <c r="H61" s="56">
        <v>0.1318513384659547</v>
      </c>
      <c r="I61" s="56">
        <v>0.1318513384659547</v>
      </c>
      <c r="J61" s="57">
        <v>7.7760578909702343</v>
      </c>
      <c r="K61" s="57">
        <v>0.33009834160507734</v>
      </c>
      <c r="L61" s="57">
        <v>0.33009834160507734</v>
      </c>
      <c r="M61" s="56" t="s">
        <v>14</v>
      </c>
      <c r="N61" s="56" t="s">
        <v>14</v>
      </c>
      <c r="O61" s="56" t="s">
        <v>14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112</v>
      </c>
      <c r="B62" s="64">
        <v>43.932175003752498</v>
      </c>
      <c r="C62" s="64">
        <v>30.326231137594135</v>
      </c>
      <c r="D62" s="64">
        <v>13.605943866158366</v>
      </c>
      <c r="E62" s="64">
        <v>1.1132521742809292</v>
      </c>
      <c r="F62" s="64">
        <v>1.4472224848749553</v>
      </c>
      <c r="G62" s="64">
        <v>-0.33397031059402615</v>
      </c>
      <c r="H62" s="64">
        <v>1.4552276755297866</v>
      </c>
      <c r="I62" s="64">
        <v>0.60279050579168325</v>
      </c>
      <c r="J62" s="65">
        <v>108.88670832003284</v>
      </c>
      <c r="K62" s="65">
        <v>47.836299254982372</v>
      </c>
      <c r="L62" s="65">
        <v>40.446071806050483</v>
      </c>
      <c r="M62" s="64">
        <v>4.3335644285872066</v>
      </c>
      <c r="N62" s="64">
        <v>1.9038291086672985</v>
      </c>
      <c r="O62" s="64">
        <v>0.27285949366519713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113</v>
      </c>
      <c r="B63" s="56">
        <v>21.29068580760017</v>
      </c>
      <c r="C63" s="56">
        <v>28.100938891367804</v>
      </c>
      <c r="D63" s="56">
        <v>-6.8102530837676367</v>
      </c>
      <c r="E63" s="56">
        <v>1.0271324449014569</v>
      </c>
      <c r="F63" s="56">
        <v>1.3393581882522105</v>
      </c>
      <c r="G63" s="56">
        <v>-0.31222574335075359</v>
      </c>
      <c r="H63" s="56">
        <v>0.61487192571103999</v>
      </c>
      <c r="I63" s="56">
        <v>-0.18058712719710868</v>
      </c>
      <c r="J63" s="57">
        <v>13.460673983103263</v>
      </c>
      <c r="K63" s="57">
        <v>2.8658698053278941</v>
      </c>
      <c r="L63" s="57">
        <v>-2.9425200638732649</v>
      </c>
      <c r="M63" s="56">
        <v>5.3516985385539648</v>
      </c>
      <c r="N63" s="56">
        <v>1.1394133212134547</v>
      </c>
      <c r="O63" s="56">
        <v>-0.38545700230253255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5" t="s">
        <v>114</v>
      </c>
      <c r="B64" s="56">
        <v>17.85971844209719</v>
      </c>
      <c r="C64" s="62" t="s">
        <v>14</v>
      </c>
      <c r="D64" s="56">
        <v>17.85971844209719</v>
      </c>
      <c r="E64" s="56">
        <v>1.5231912510952284E-2</v>
      </c>
      <c r="F64" s="56" t="s">
        <v>14</v>
      </c>
      <c r="G64" s="56">
        <v>1.5231912510952284E-2</v>
      </c>
      <c r="H64" s="56">
        <v>0.73351179570302905</v>
      </c>
      <c r="I64" s="56">
        <v>0.73351179570302905</v>
      </c>
      <c r="J64" s="57">
        <v>222.96466977082824</v>
      </c>
      <c r="K64" s="57">
        <v>39.820862246421726</v>
      </c>
      <c r="L64" s="57">
        <v>39.820862246421726</v>
      </c>
      <c r="M64" s="56">
        <v>3.8656138091384653</v>
      </c>
      <c r="N64" s="56">
        <v>0.69038774237095812</v>
      </c>
      <c r="O64" s="56">
        <v>0.69038774237095812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115</v>
      </c>
      <c r="B65" s="56">
        <v>1.9550773804842774</v>
      </c>
      <c r="C65" s="56">
        <v>1.706645678367015</v>
      </c>
      <c r="D65" s="56">
        <v>0.24843170211726223</v>
      </c>
      <c r="E65" s="56">
        <v>5.7356455982054945E-2</v>
      </c>
      <c r="F65" s="56">
        <v>9.5279285065683325E-2</v>
      </c>
      <c r="G65" s="56">
        <v>-3.792282908362838E-2</v>
      </c>
      <c r="H65" s="56">
        <v>7.0831107935897891E-2</v>
      </c>
      <c r="I65" s="56">
        <v>2.3840381617239538E-2</v>
      </c>
      <c r="J65" s="57">
        <v>188.29903133461661</v>
      </c>
      <c r="K65" s="57">
        <v>3.6813917692940898</v>
      </c>
      <c r="L65" s="57">
        <v>2.4040347819258781</v>
      </c>
      <c r="M65" s="56">
        <v>2.9157328012016124</v>
      </c>
      <c r="N65" s="56">
        <v>5.7004832471653326E-2</v>
      </c>
      <c r="O65" s="56">
        <v>-3.6682392118077188E-2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116</v>
      </c>
      <c r="B66" s="56">
        <v>2.7608941533131102</v>
      </c>
      <c r="C66" s="56">
        <v>0.44305072411314378</v>
      </c>
      <c r="D66" s="56">
        <v>2.3178434291999661</v>
      </c>
      <c r="E66" s="56">
        <v>1.3366862835820543E-2</v>
      </c>
      <c r="F66" s="56">
        <v>1.0294854169898192E-2</v>
      </c>
      <c r="G66" s="56">
        <v>3.0720086659223513E-3</v>
      </c>
      <c r="H66" s="56">
        <v>3.3647022669328744E-2</v>
      </c>
      <c r="I66" s="56">
        <v>2.5237159376796062E-2</v>
      </c>
      <c r="J66" s="57">
        <v>50.388196125254503</v>
      </c>
      <c r="K66" s="57">
        <v>1.3911647607820945</v>
      </c>
      <c r="L66" s="57">
        <v>1.1299408616862887</v>
      </c>
      <c r="M66" s="56">
        <v>0.60804270684431994</v>
      </c>
      <c r="N66" s="56">
        <v>1.6787415542911601E-2</v>
      </c>
      <c r="O66" s="56">
        <v>6.6392230602440698E-3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117</v>
      </c>
      <c r="B67" s="66" t="s">
        <v>14</v>
      </c>
      <c r="C67" s="56">
        <v>7.5595843746166E-2</v>
      </c>
      <c r="D67" s="56">
        <v>-7.5595843746166E-2</v>
      </c>
      <c r="E67" s="56" t="s">
        <v>14</v>
      </c>
      <c r="F67" s="56">
        <v>2.2901573871632261E-3</v>
      </c>
      <c r="G67" s="56">
        <v>-2.2901573871632261E-3</v>
      </c>
      <c r="H67" s="56" t="s">
        <v>14</v>
      </c>
      <c r="I67" s="56">
        <v>-1.5775272187636801E-3</v>
      </c>
      <c r="J67" s="57" t="s">
        <v>14</v>
      </c>
      <c r="K67" s="57" t="s">
        <v>14</v>
      </c>
      <c r="L67" s="57">
        <v>-4.325669326671059E-2</v>
      </c>
      <c r="M67" s="56" t="s">
        <v>14</v>
      </c>
      <c r="N67" s="56" t="s">
        <v>14</v>
      </c>
      <c r="O67" s="56">
        <v>-2.2638744137160171E-3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5" t="s">
        <v>118</v>
      </c>
      <c r="B68" s="56">
        <v>6.5799220257756363E-2</v>
      </c>
      <c r="C68" s="62" t="s">
        <v>14</v>
      </c>
      <c r="D68" s="56">
        <v>6.5799220257756363E-2</v>
      </c>
      <c r="E68" s="56">
        <v>1.644980506443909E-4</v>
      </c>
      <c r="F68" s="56" t="s">
        <v>14</v>
      </c>
      <c r="G68" s="56">
        <v>1.644980506443909E-4</v>
      </c>
      <c r="H68" s="56">
        <v>2.3658235104911636E-3</v>
      </c>
      <c r="I68" s="56">
        <v>2.3658235104911636E-3</v>
      </c>
      <c r="J68" s="57">
        <v>117.03888413098537</v>
      </c>
      <c r="K68" s="57">
        <v>7.7010673156567316E-2</v>
      </c>
      <c r="L68" s="57">
        <v>7.7010673156567316E-2</v>
      </c>
      <c r="M68" s="56">
        <v>0.35835845378869807</v>
      </c>
      <c r="N68" s="56">
        <v>2.3579706832071545E-4</v>
      </c>
      <c r="O68" s="56">
        <v>2.3579706832071545E-4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119</v>
      </c>
      <c r="B69" s="64">
        <v>21.288087819029361</v>
      </c>
      <c r="C69" s="64">
        <v>31.393395467643643</v>
      </c>
      <c r="D69" s="64">
        <v>-10.105307648614282</v>
      </c>
      <c r="E69" s="64">
        <v>1.9293073611180966</v>
      </c>
      <c r="F69" s="64">
        <v>2.264832327117186</v>
      </c>
      <c r="G69" s="64">
        <v>-0.33552496599908932</v>
      </c>
      <c r="H69" s="64">
        <v>0.92017424293008188</v>
      </c>
      <c r="I69" s="64">
        <v>-7.7925015315885027E-2</v>
      </c>
      <c r="J69" s="65">
        <v>195.13318598036659</v>
      </c>
      <c r="K69" s="65">
        <v>41.540123995570326</v>
      </c>
      <c r="L69" s="65">
        <v>6.8372418502086276</v>
      </c>
      <c r="M69" s="64">
        <v>8.7441672304047557</v>
      </c>
      <c r="N69" s="64">
        <v>1.8614659990513525</v>
      </c>
      <c r="O69" s="64">
        <v>-0.33765508818285883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55" t="s">
        <v>120</v>
      </c>
      <c r="B70" s="56">
        <v>20.496315703852158</v>
      </c>
      <c r="C70" s="56">
        <v>25.829613674930247</v>
      </c>
      <c r="D70" s="56">
        <v>-5.3332979710780881</v>
      </c>
      <c r="E70" s="56">
        <v>1.8748238142116906</v>
      </c>
      <c r="F70" s="56">
        <v>1.9280943793153875</v>
      </c>
      <c r="G70" s="56">
        <v>-5.3270565103696876E-2</v>
      </c>
      <c r="H70" s="56">
        <v>0.88064103760512091</v>
      </c>
      <c r="I70" s="56">
        <v>3.7369030031596528E-2</v>
      </c>
      <c r="J70" s="57">
        <v>192.15322549993539</v>
      </c>
      <c r="K70" s="57">
        <v>39.384331733601698</v>
      </c>
      <c r="L70" s="57">
        <v>9.5098434352360997</v>
      </c>
      <c r="M70" s="56">
        <v>8.8209208587846764</v>
      </c>
      <c r="N70" s="56">
        <v>1.8079637872034546</v>
      </c>
      <c r="O70" s="56">
        <v>-6.369717800495045E-2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58" t="s">
        <v>121</v>
      </c>
      <c r="B71" s="59">
        <v>5.4335817544362657</v>
      </c>
      <c r="C71" s="59">
        <v>8.2084648168931604</v>
      </c>
      <c r="D71" s="59">
        <v>-2.7748830624568939</v>
      </c>
      <c r="E71" s="59">
        <v>0.38099433941220151</v>
      </c>
      <c r="F71" s="59">
        <v>0.48995511988414608</v>
      </c>
      <c r="G71" s="59">
        <v>-0.10896078047194457</v>
      </c>
      <c r="H71" s="59">
        <v>0.20679911047629634</v>
      </c>
      <c r="I71" s="59">
        <v>-4.3390451081107229E-2</v>
      </c>
      <c r="J71" s="60">
        <v>168.38965259624203</v>
      </c>
      <c r="K71" s="60">
        <v>9.1495894398280164</v>
      </c>
      <c r="L71" s="60">
        <v>2.4877090138977209E-2</v>
      </c>
      <c r="M71" s="59">
        <v>6.8186084777680778</v>
      </c>
      <c r="N71" s="59">
        <v>0.37049466615445059</v>
      </c>
      <c r="O71" s="59">
        <v>-0.10865716545837112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58" t="s">
        <v>122</v>
      </c>
      <c r="B72" s="59">
        <v>14.293289815995895</v>
      </c>
      <c r="C72" s="59">
        <v>15.635526510908671</v>
      </c>
      <c r="D72" s="59">
        <v>-1.3422366949127769</v>
      </c>
      <c r="E72" s="59">
        <v>1.4369646499741715</v>
      </c>
      <c r="F72" s="59">
        <v>1.24670249862266</v>
      </c>
      <c r="G72" s="59">
        <v>0.19026215135151148</v>
      </c>
      <c r="H72" s="59">
        <v>0.64122919219191499</v>
      </c>
      <c r="I72" s="59">
        <v>0.11655895249558756</v>
      </c>
      <c r="J72" s="60">
        <v>201.20764175513784</v>
      </c>
      <c r="K72" s="60">
        <v>28.759191367992621</v>
      </c>
      <c r="L72" s="60">
        <v>10.242829021702519</v>
      </c>
      <c r="M72" s="59">
        <v>9.6672166588436834</v>
      </c>
      <c r="N72" s="59">
        <v>1.3817632941887632</v>
      </c>
      <c r="O72" s="59">
        <v>0.17413709138910494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58" t="s">
        <v>123</v>
      </c>
      <c r="B73" s="59">
        <v>0.76944413341999995</v>
      </c>
      <c r="C73" s="59">
        <v>1.985622347128418</v>
      </c>
      <c r="D73" s="59">
        <v>-1.2161782137084181</v>
      </c>
      <c r="E73" s="59">
        <v>5.6864824825317607E-2</v>
      </c>
      <c r="F73" s="59">
        <v>0.19143676080858144</v>
      </c>
      <c r="G73" s="59">
        <v>-0.13457193598326384</v>
      </c>
      <c r="H73" s="59">
        <v>3.2612734936909561E-2</v>
      </c>
      <c r="I73" s="59">
        <v>-3.5799471382883787E-2</v>
      </c>
      <c r="J73" s="60">
        <v>191.76842888158549</v>
      </c>
      <c r="K73" s="60">
        <v>1.4755509257810646</v>
      </c>
      <c r="L73" s="60">
        <v>-0.75786267660539308</v>
      </c>
      <c r="M73" s="59">
        <v>7.2397493775982742</v>
      </c>
      <c r="N73" s="59">
        <v>5.5705826860240878E-2</v>
      </c>
      <c r="O73" s="59">
        <v>-0.12917710393568443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55" t="s">
        <v>124</v>
      </c>
      <c r="B74" s="56">
        <v>0.79177211517720403</v>
      </c>
      <c r="C74" s="56">
        <v>5.5637817927133977</v>
      </c>
      <c r="D74" s="56">
        <v>-4.7720096775361931</v>
      </c>
      <c r="E74" s="56">
        <v>5.4483546906405909E-2</v>
      </c>
      <c r="F74" s="56">
        <v>0.33673794780179822</v>
      </c>
      <c r="G74" s="56">
        <v>-0.28225440089539233</v>
      </c>
      <c r="H74" s="56">
        <v>3.9533205324961011E-2</v>
      </c>
      <c r="I74" s="56">
        <v>-0.11529404534748147</v>
      </c>
      <c r="J74" s="57">
        <v>272.27433508265744</v>
      </c>
      <c r="K74" s="57">
        <v>2.1557922619686249</v>
      </c>
      <c r="L74" s="57">
        <v>-2.6726015850274734</v>
      </c>
      <c r="M74" s="56">
        <v>6.7572740719624456</v>
      </c>
      <c r="N74" s="56">
        <v>5.3502211847897836E-2</v>
      </c>
      <c r="O74" s="56">
        <v>-0.27395791017790838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3" t="s">
        <v>125</v>
      </c>
      <c r="B75" s="64">
        <v>9.3114333978954793</v>
      </c>
      <c r="C75" s="67" t="s">
        <v>14</v>
      </c>
      <c r="D75" s="64">
        <v>9.3114333978954793</v>
      </c>
      <c r="E75" s="64">
        <v>0.36988214119727369</v>
      </c>
      <c r="F75" s="64" t="s">
        <v>14</v>
      </c>
      <c r="G75" s="64">
        <v>0.36988214119727369</v>
      </c>
      <c r="H75" s="64">
        <v>0.49936635630364085</v>
      </c>
      <c r="I75" s="64">
        <v>0.49936635630364085</v>
      </c>
      <c r="J75" s="65">
        <v>343.36813558101335</v>
      </c>
      <c r="K75" s="65">
        <v>31.972495254221506</v>
      </c>
      <c r="L75" s="65">
        <v>31.972495254221506</v>
      </c>
      <c r="M75" s="64">
        <v>3.7918173672445468</v>
      </c>
      <c r="N75" s="64">
        <v>0.35307254872080979</v>
      </c>
      <c r="O75" s="64">
        <v>0.35307254872080979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76" s="63" t="s">
        <v>126</v>
      </c>
      <c r="B76" s="64">
        <v>17.563200177468357</v>
      </c>
      <c r="C76" s="67" t="s">
        <v>14</v>
      </c>
      <c r="D76" s="64">
        <v>17.563200177468357</v>
      </c>
      <c r="E76" s="64">
        <v>4.3768492598389046E-2</v>
      </c>
      <c r="F76" s="64" t="s">
        <v>14</v>
      </c>
      <c r="G76" s="64">
        <v>4.3768492598389046E-2</v>
      </c>
      <c r="H76" s="64">
        <v>0.69669205939563039</v>
      </c>
      <c r="I76" s="64">
        <v>0.69669205939563039</v>
      </c>
      <c r="J76" s="65">
        <v>299.78641732634378</v>
      </c>
      <c r="K76" s="65">
        <v>52.652088579886453</v>
      </c>
      <c r="L76" s="65">
        <v>52.652088579886453</v>
      </c>
      <c r="M76" s="64">
        <v>4.691313683385494</v>
      </c>
      <c r="N76" s="64">
        <v>0.82394481316595891</v>
      </c>
      <c r="O76" s="64">
        <v>0.82394481316595891</v>
      </c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77" s="63" t="s">
        <v>127</v>
      </c>
      <c r="B77" s="64">
        <v>4.4046947213760275</v>
      </c>
      <c r="C77" s="67" t="s">
        <v>14</v>
      </c>
      <c r="D77" s="64">
        <v>4.4046947213760275</v>
      </c>
      <c r="E77" s="64">
        <v>0.32419742604237362</v>
      </c>
      <c r="F77" s="64" t="s">
        <v>14</v>
      </c>
      <c r="G77" s="64">
        <v>0.32419742604237362</v>
      </c>
      <c r="H77" s="64">
        <v>0.25092964694028508</v>
      </c>
      <c r="I77" s="64">
        <v>0.25092964694028508</v>
      </c>
      <c r="J77" s="65">
        <v>339.95997648147619</v>
      </c>
      <c r="K77" s="65">
        <v>14.974199138870775</v>
      </c>
      <c r="L77" s="65">
        <v>14.974199138870775</v>
      </c>
      <c r="M77" s="64">
        <v>7.1731273745191659</v>
      </c>
      <c r="N77" s="64">
        <v>0.31595436282302464</v>
      </c>
      <c r="O77" s="64">
        <v>0.31595436282302464</v>
      </c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78" s="63" t="s">
        <v>128</v>
      </c>
      <c r="B78" s="64">
        <v>5.5003602400763603</v>
      </c>
      <c r="C78" s="67" t="s">
        <v>14</v>
      </c>
      <c r="D78" s="64">
        <v>5.5003602400763603</v>
      </c>
      <c r="E78" s="64">
        <v>3.5829832777437751E-3</v>
      </c>
      <c r="F78" s="64" t="s">
        <v>14</v>
      </c>
      <c r="G78" s="64">
        <v>3.5829832777437751E-3</v>
      </c>
      <c r="H78" s="64">
        <v>3.9268849937975886E-2</v>
      </c>
      <c r="I78" s="64">
        <v>3.9268849937975886E-2</v>
      </c>
      <c r="J78" s="65">
        <v>-0.67041970364243009</v>
      </c>
      <c r="K78" s="65">
        <v>-3.6875498820785994E-2</v>
      </c>
      <c r="L78" s="65">
        <v>-3.6875498820785994E-2</v>
      </c>
      <c r="M78" s="64">
        <v>7.915337996179854E-4</v>
      </c>
      <c r="N78" s="64">
        <v>4.3537210400953353E-5</v>
      </c>
      <c r="O78" s="64">
        <v>4.3537210400953353E-5</v>
      </c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79" s="63" t="s">
        <v>129</v>
      </c>
      <c r="B79" s="64">
        <v>-21.46052125503396</v>
      </c>
      <c r="C79" s="67" t="s">
        <v>14</v>
      </c>
      <c r="D79" s="64">
        <v>-21.46052125503396</v>
      </c>
      <c r="E79" s="64">
        <v>-2.1460521255033962E-4</v>
      </c>
      <c r="F79" s="64" t="s">
        <v>14</v>
      </c>
      <c r="G79" s="64">
        <v>-2.1460521255033962E-4</v>
      </c>
      <c r="H79" s="64">
        <v>-0.16479101226600146</v>
      </c>
      <c r="I79" s="64">
        <v>-0.16479101226600146</v>
      </c>
      <c r="J79" s="65">
        <v>1.0000000000000002E-3</v>
      </c>
      <c r="K79" s="65">
        <v>-2.1460521255033962E-4</v>
      </c>
      <c r="L79" s="65">
        <v>-2.1460521255033962E-4</v>
      </c>
      <c r="M79" s="64">
        <v>1.0000000000000002E-3</v>
      </c>
      <c r="N79" s="64">
        <v>-2.1460521255033962E-4</v>
      </c>
      <c r="O79" s="64">
        <v>-2.1460521255033962E-4</v>
      </c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>
      <c r="A80" s="63" t="s">
        <v>132</v>
      </c>
      <c r="B80" s="64">
        <v>2.9764389038813243E-2</v>
      </c>
      <c r="C80" s="67" t="s">
        <v>14</v>
      </c>
      <c r="D80" s="64">
        <v>2.9764389038813243E-2</v>
      </c>
      <c r="E80" s="64" t="s">
        <v>14</v>
      </c>
      <c r="F80" s="64" t="s">
        <v>14</v>
      </c>
      <c r="G80" s="64" t="s">
        <v>14</v>
      </c>
      <c r="H80" s="64" t="s">
        <v>14</v>
      </c>
      <c r="I80" s="64" t="s">
        <v>14</v>
      </c>
      <c r="J80" s="65" t="s">
        <v>14</v>
      </c>
      <c r="K80" s="65" t="s">
        <v>14</v>
      </c>
      <c r="L80" s="65" t="s">
        <v>14</v>
      </c>
      <c r="M80" s="64" t="s">
        <v>14</v>
      </c>
      <c r="N80" s="64" t="s">
        <v>14</v>
      </c>
      <c r="O80" s="64" t="s">
        <v>14</v>
      </c>
    </row>
    <row r="81" spans="1:15" ht="13.5" customHeight="1">
      <c r="A81" s="68" t="s">
        <v>37</v>
      </c>
      <c r="B81" s="69">
        <v>99.999999999999915</v>
      </c>
      <c r="C81" s="69">
        <v>99.99999999999973</v>
      </c>
      <c r="D81" s="69">
        <v>1.7763568394002505E-13</v>
      </c>
      <c r="E81" s="69">
        <v>5.1039209901919076</v>
      </c>
      <c r="F81" s="69">
        <v>6.0434449650283106</v>
      </c>
      <c r="G81" s="69">
        <v>-0.93952397483640304</v>
      </c>
      <c r="H81" s="69">
        <v>4.3328770320310337</v>
      </c>
      <c r="I81" s="69">
        <v>1.770347001594653</v>
      </c>
      <c r="J81" s="70">
        <v>189.89052788338793</v>
      </c>
      <c r="K81" s="70">
        <v>189.89052788338785</v>
      </c>
      <c r="L81" s="70">
        <v>147.45825357734779</v>
      </c>
      <c r="M81" s="69">
        <v>5.1940541690682247</v>
      </c>
      <c r="N81" s="69">
        <v>5.1940541690682229</v>
      </c>
      <c r="O81" s="69">
        <v>1.278715585306732</v>
      </c>
    </row>
    <row r="82" spans="1:15" ht="13.5" customHeight="1"/>
    <row r="83" spans="1:15" ht="13.5" customHeight="1"/>
    <row r="84" spans="1:15" ht="13.5" customHeight="1"/>
    <row r="85" spans="1:15" ht="13.5" customHeight="1"/>
    <row r="86" spans="1:15" ht="13.5" customHeight="1"/>
    <row r="87" spans="1:15" ht="13.5" customHeight="1"/>
    <row r="88" spans="1:15" ht="13.5" customHeight="1"/>
    <row r="89" spans="1:15" ht="13.5" customHeight="1"/>
    <row r="90" spans="1:15" ht="13.5" customHeight="1"/>
    <row r="91" spans="1:15" ht="13.5" customHeight="1"/>
    <row r="92" spans="1:15" ht="13.5" customHeight="1"/>
    <row r="93" spans="1:15" ht="13.5" customHeight="1"/>
    <row r="94" spans="1:15" ht="13.5" customHeight="1"/>
    <row r="95" spans="1:15" ht="13.5" customHeight="1"/>
    <row r="96" spans="1:15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51">
      <c r="A1" s="2" t="s">
        <v>0</v>
      </c>
      <c r="B1" s="3" t="s">
        <v>86</v>
      </c>
      <c r="C1" s="3" t="s">
        <v>87</v>
      </c>
    </row>
    <row r="2" spans="1:8">
      <c r="A2" s="4" t="s">
        <v>3</v>
      </c>
      <c r="B2" s="9">
        <v>5.4341146958539506</v>
      </c>
      <c r="C2" s="9">
        <v>5.4929310608846542</v>
      </c>
    </row>
    <row r="3" spans="1:8">
      <c r="A3" s="4" t="s">
        <v>4</v>
      </c>
      <c r="B3" s="10">
        <v>231.24640930049571</v>
      </c>
      <c r="C3" s="10">
        <v>233.63460937697101</v>
      </c>
    </row>
    <row r="4" spans="1:8">
      <c r="A4" s="4" t="s">
        <v>5</v>
      </c>
      <c r="B4" s="9">
        <v>5.5067587823744608</v>
      </c>
      <c r="C4" s="9">
        <v>5.3415629984650659</v>
      </c>
    </row>
    <row r="5" spans="1:8">
      <c r="A5" s="4" t="s">
        <v>6</v>
      </c>
      <c r="B5" s="9">
        <v>6.829342865833504</v>
      </c>
      <c r="C5" s="9">
        <v>7.2114545270209787</v>
      </c>
    </row>
    <row r="6" spans="1:8">
      <c r="A6" s="4" t="s">
        <v>7</v>
      </c>
      <c r="B6" s="9">
        <v>4.0398728747182693</v>
      </c>
      <c r="C6" s="9">
        <v>4.3246212448895403</v>
      </c>
    </row>
    <row r="7" spans="1:8">
      <c r="A7" s="4" t="s">
        <v>8</v>
      </c>
      <c r="B7" s="9">
        <v>3.9618279679773578</v>
      </c>
      <c r="C7" s="9">
        <v>4.1390942435690077</v>
      </c>
    </row>
    <row r="8" spans="1:8">
      <c r="A8" s="4" t="s">
        <v>9</v>
      </c>
      <c r="B8" s="9">
        <v>3.8493399914603108</v>
      </c>
      <c r="C8" s="9">
        <v>4.817415526000147</v>
      </c>
    </row>
    <row r="9" spans="1:8">
      <c r="A9" s="4" t="s">
        <v>10</v>
      </c>
      <c r="B9" s="9" t="s">
        <v>88</v>
      </c>
      <c r="C9" s="9" t="s">
        <v>79</v>
      </c>
    </row>
    <row r="10" spans="1:8">
      <c r="A10" s="4" t="s">
        <v>13</v>
      </c>
      <c r="B10" s="39">
        <v>615772574.21118867</v>
      </c>
      <c r="C10" s="7" t="s">
        <v>14</v>
      </c>
    </row>
    <row r="11" spans="1:8">
      <c r="B11" s="1"/>
    </row>
    <row r="12" spans="1:8" ht="51">
      <c r="A12" s="5" t="s">
        <v>15</v>
      </c>
      <c r="B12" s="3" t="s">
        <v>86</v>
      </c>
      <c r="C12" s="3" t="s">
        <v>87</v>
      </c>
    </row>
    <row r="13" spans="1:8">
      <c r="A13" s="6" t="s">
        <v>16</v>
      </c>
      <c r="B13" s="9">
        <v>12.61285759806262</v>
      </c>
      <c r="C13" s="9">
        <v>6.1888879698464798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1.878707083785045</v>
      </c>
      <c r="C14" s="12">
        <v>8.3043895269341537</v>
      </c>
      <c r="E14" s="40" t="s">
        <v>22</v>
      </c>
      <c r="F14" s="41">
        <v>5.4843488955701299E-2</v>
      </c>
      <c r="G14" s="41">
        <v>2.508231846030632E-2</v>
      </c>
      <c r="H14" s="41">
        <v>2.9761170495394972E-2</v>
      </c>
    </row>
    <row r="15" spans="1:8">
      <c r="A15" s="4" t="s">
        <v>23</v>
      </c>
      <c r="B15" s="9">
        <v>7.6547204910835287</v>
      </c>
      <c r="C15" s="12">
        <v>17.707685800607049</v>
      </c>
      <c r="E15" s="40" t="s">
        <v>24</v>
      </c>
      <c r="F15" s="41">
        <v>8.4235760202030996E-2</v>
      </c>
      <c r="G15" s="41">
        <v>0.10777043804687469</v>
      </c>
      <c r="H15" s="41">
        <v>-2.3534677844843661E-2</v>
      </c>
    </row>
    <row r="16" spans="1:8">
      <c r="A16" s="4" t="s">
        <v>25</v>
      </c>
      <c r="B16" s="9">
        <v>30.29513948282727</v>
      </c>
      <c r="C16" s="12">
        <v>22.407953464979709</v>
      </c>
      <c r="E16" s="40" t="s">
        <v>26</v>
      </c>
      <c r="F16" s="41">
        <v>0.14532613076677739</v>
      </c>
      <c r="G16" s="41">
        <v>0.25661173186069808</v>
      </c>
      <c r="H16" s="41">
        <v>-0.1112856010939207</v>
      </c>
    </row>
    <row r="17" spans="1:8">
      <c r="A17" s="4" t="s">
        <v>27</v>
      </c>
      <c r="B17" s="9">
        <v>22.76526559532866</v>
      </c>
      <c r="C17" s="12">
        <v>23.746900718841889</v>
      </c>
      <c r="E17" s="40" t="s">
        <v>28</v>
      </c>
      <c r="F17" s="41">
        <v>0.41346246338587123</v>
      </c>
      <c r="G17" s="41">
        <v>0.59396187121670252</v>
      </c>
      <c r="H17" s="41">
        <v>-0.1804994078308314</v>
      </c>
    </row>
    <row r="18" spans="1:8">
      <c r="A18" s="4" t="s">
        <v>29</v>
      </c>
      <c r="B18" s="12">
        <v>19.393774406485509</v>
      </c>
      <c r="C18" s="12">
        <v>15.2379799395896</v>
      </c>
      <c r="E18" s="40" t="s">
        <v>30</v>
      </c>
      <c r="F18" s="41">
        <v>0.58559475647504511</v>
      </c>
      <c r="G18" s="41">
        <v>0.94379611803914965</v>
      </c>
      <c r="H18" s="41">
        <v>-0.35820136156410459</v>
      </c>
    </row>
    <row r="19" spans="1:8">
      <c r="A19" s="4" t="s">
        <v>31</v>
      </c>
      <c r="B19" s="12">
        <v>5.079144790046433</v>
      </c>
      <c r="C19" s="12">
        <v>5.4874422519653114</v>
      </c>
      <c r="E19" s="40" t="s">
        <v>32</v>
      </c>
      <c r="F19" s="41">
        <v>1.112642727152634</v>
      </c>
      <c r="G19" s="41">
        <v>1.03849570771044</v>
      </c>
      <c r="H19" s="41">
        <v>7.4147019442194262E-2</v>
      </c>
    </row>
    <row r="20" spans="1:8">
      <c r="A20" s="4" t="s">
        <v>33</v>
      </c>
      <c r="B20" s="12">
        <v>0.16504876751719069</v>
      </c>
      <c r="C20" s="12">
        <v>0.91539666505699968</v>
      </c>
      <c r="E20" s="40" t="s">
        <v>34</v>
      </c>
      <c r="F20" s="41">
        <v>1.36518913460224</v>
      </c>
      <c r="G20" s="41">
        <v>0.82455823554872554</v>
      </c>
      <c r="H20" s="41">
        <v>0.54063089905351491</v>
      </c>
    </row>
    <row r="21" spans="1:8">
      <c r="A21" s="4" t="s">
        <v>35</v>
      </c>
      <c r="B21" s="12">
        <v>0.1553417848638147</v>
      </c>
      <c r="C21" s="12">
        <v>3.3636621786741869E-3</v>
      </c>
      <c r="E21" s="40" t="s">
        <v>36</v>
      </c>
      <c r="F21" s="41">
        <v>0.24635706761816209</v>
      </c>
      <c r="G21" s="41">
        <v>0.36892918725162088</v>
      </c>
      <c r="H21" s="41">
        <v>-0.1225721196334589</v>
      </c>
    </row>
    <row r="22" spans="1:8">
      <c r="A22" s="2" t="s">
        <v>37</v>
      </c>
      <c r="B22" s="13">
        <f>SUM(B13:B21)</f>
        <v>100.00000000000006</v>
      </c>
      <c r="C22" s="13">
        <f>SUM(C13:C21)</f>
        <v>99.999999999999844</v>
      </c>
      <c r="E22" s="40" t="s">
        <v>38</v>
      </c>
      <c r="F22" s="41">
        <v>0.44038887183033038</v>
      </c>
      <c r="G22" s="41">
        <v>0.42979944244389362</v>
      </c>
      <c r="H22" s="41">
        <v>1.058942938643687E-2</v>
      </c>
    </row>
    <row r="23" spans="1:8">
      <c r="A23" s="14"/>
      <c r="B23" s="15"/>
      <c r="C23" s="15"/>
      <c r="E23" s="40" t="s">
        <v>39</v>
      </c>
      <c r="F23" s="41">
        <v>0.35116413767435328</v>
      </c>
      <c r="G23" s="41">
        <v>0.49463278151830359</v>
      </c>
      <c r="H23" s="41">
        <v>-0.14346864384395031</v>
      </c>
    </row>
    <row r="24" spans="1:8">
      <c r="E24" s="40" t="s">
        <v>40</v>
      </c>
      <c r="F24" s="41">
        <v>0.63490001524652129</v>
      </c>
      <c r="G24" s="41">
        <v>0.39162399783450252</v>
      </c>
      <c r="H24" s="41">
        <v>0.24327601741201871</v>
      </c>
    </row>
    <row r="25" spans="1:8" ht="51">
      <c r="A25" s="5" t="s">
        <v>41</v>
      </c>
      <c r="B25" s="3" t="s">
        <v>86</v>
      </c>
      <c r="C25" s="3" t="s">
        <v>87</v>
      </c>
    </row>
    <row r="26" spans="1:8">
      <c r="A26" s="6" t="s">
        <v>42</v>
      </c>
      <c r="B26" s="9">
        <v>1.8190517122600931</v>
      </c>
      <c r="C26" s="9">
        <v>5.323673701211205</v>
      </c>
    </row>
    <row r="27" spans="1:8">
      <c r="A27" s="4" t="s">
        <v>43</v>
      </c>
      <c r="B27" s="9">
        <v>12.20036215502355</v>
      </c>
      <c r="C27" s="12">
        <v>7.6637842975334962</v>
      </c>
    </row>
    <row r="28" spans="1:8">
      <c r="A28" s="4" t="s">
        <v>44</v>
      </c>
      <c r="B28" s="9">
        <v>8.8168238753168531</v>
      </c>
      <c r="C28" s="12">
        <v>16.396099147799909</v>
      </c>
    </row>
    <row r="29" spans="1:8">
      <c r="A29" s="4" t="s">
        <v>45</v>
      </c>
      <c r="B29" s="9">
        <v>30.077094227174001</v>
      </c>
      <c r="C29" s="12">
        <v>22.55008030956143</v>
      </c>
    </row>
    <row r="30" spans="1:8">
      <c r="A30" s="4" t="s">
        <v>46</v>
      </c>
      <c r="B30" s="9">
        <v>22.535250459128051</v>
      </c>
      <c r="C30" s="12">
        <v>22.536481930591169</v>
      </c>
    </row>
    <row r="31" spans="1:8">
      <c r="A31" s="4" t="s">
        <v>47</v>
      </c>
      <c r="B31" s="12">
        <v>14.32980719348911</v>
      </c>
      <c r="C31" s="12">
        <v>14.08574163808413</v>
      </c>
    </row>
    <row r="32" spans="1:8">
      <c r="A32" s="4" t="s">
        <v>48</v>
      </c>
      <c r="B32" s="12">
        <v>7.6322958597725084</v>
      </c>
      <c r="C32" s="12">
        <v>3.5367612033959892</v>
      </c>
    </row>
    <row r="33" spans="1:3">
      <c r="A33" s="4" t="s">
        <v>49</v>
      </c>
      <c r="B33" s="12">
        <v>2.4339727329720842</v>
      </c>
      <c r="C33" s="12">
        <v>7.904014109643855</v>
      </c>
    </row>
    <row r="34" spans="1:3">
      <c r="A34" s="4" t="s">
        <v>35</v>
      </c>
      <c r="B34" s="12">
        <v>0.1553417848638147</v>
      </c>
      <c r="C34" s="12">
        <v>3.3636621786741869E-3</v>
      </c>
    </row>
    <row r="35" spans="1:3">
      <c r="A35" s="2" t="s">
        <v>37</v>
      </c>
      <c r="B35" s="13">
        <f>SUM(B26:B34)</f>
        <v>100.00000000000004</v>
      </c>
      <c r="C35" s="13">
        <f>SUM(C26:C34)</f>
        <v>99.999999999999844</v>
      </c>
    </row>
    <row r="37" spans="1:3" ht="51">
      <c r="A37" s="5" t="s">
        <v>50</v>
      </c>
      <c r="B37" s="3" t="s">
        <v>86</v>
      </c>
      <c r="C37" s="3" t="s">
        <v>87</v>
      </c>
    </row>
    <row r="38" spans="1:3">
      <c r="A38" s="6" t="s">
        <v>51</v>
      </c>
      <c r="B38" s="9">
        <v>12.61285759806262</v>
      </c>
      <c r="C38" s="9">
        <v>6.1658757410577447</v>
      </c>
    </row>
    <row r="39" spans="1:3">
      <c r="A39" s="4" t="s">
        <v>52</v>
      </c>
      <c r="B39" s="9">
        <v>2.1012705407705949</v>
      </c>
      <c r="C39" s="12">
        <v>8.37859788564956</v>
      </c>
    </row>
    <row r="40" spans="1:3">
      <c r="A40" s="4" t="s">
        <v>53</v>
      </c>
      <c r="B40" s="9">
        <v>7.288698800010553</v>
      </c>
      <c r="C40" s="12">
        <v>16.630222194642471</v>
      </c>
    </row>
    <row r="41" spans="1:3">
      <c r="A41" s="4" t="s">
        <v>54</v>
      </c>
      <c r="B41" s="9">
        <v>27.321382249063781</v>
      </c>
      <c r="C41" s="12">
        <v>19.964399580577481</v>
      </c>
    </row>
    <row r="42" spans="1:3">
      <c r="A42" s="4" t="s">
        <v>55</v>
      </c>
      <c r="B42" s="9">
        <v>25.490277945474009</v>
      </c>
      <c r="C42" s="12">
        <v>20.066982458490301</v>
      </c>
    </row>
    <row r="43" spans="1:3">
      <c r="A43" s="4" t="s">
        <v>56</v>
      </c>
      <c r="B43" s="12">
        <v>18.812954528464491</v>
      </c>
      <c r="C43" s="12">
        <v>15.88557532659444</v>
      </c>
    </row>
    <row r="44" spans="1:3">
      <c r="A44" s="4" t="s">
        <v>57</v>
      </c>
      <c r="B44" s="12">
        <v>2.0986113355482852</v>
      </c>
      <c r="C44" s="12">
        <v>5.8400938356372194</v>
      </c>
    </row>
    <row r="45" spans="1:3">
      <c r="A45" s="4" t="s">
        <v>58</v>
      </c>
      <c r="B45" s="12">
        <v>4.118605217741921</v>
      </c>
      <c r="C45" s="12">
        <v>7.0648893151719072</v>
      </c>
    </row>
    <row r="46" spans="1:3">
      <c r="A46" s="4" t="s">
        <v>35</v>
      </c>
      <c r="B46" s="12">
        <v>0.1553417848638147</v>
      </c>
      <c r="C46" s="12">
        <v>3.3636621786741869E-3</v>
      </c>
    </row>
    <row r="47" spans="1:3">
      <c r="A47" s="2" t="s">
        <v>37</v>
      </c>
      <c r="B47" s="13">
        <f>SUM(B38:B46)</f>
        <v>100.00000000000006</v>
      </c>
      <c r="C47" s="13">
        <f>SUM(C38:C46)</f>
        <v>99.999999999999801</v>
      </c>
    </row>
    <row r="49" spans="1:35" ht="51.75">
      <c r="Q49" s="16" t="s">
        <v>59</v>
      </c>
      <c r="R49" s="16" t="s">
        <v>86</v>
      </c>
      <c r="S49" s="16" t="s">
        <v>87</v>
      </c>
      <c r="T49" s="17" t="s">
        <v>60</v>
      </c>
      <c r="U49" s="18"/>
      <c r="V49" s="16" t="s">
        <v>59</v>
      </c>
      <c r="W49" s="16" t="s">
        <v>86</v>
      </c>
      <c r="X49" s="16" t="s">
        <v>87</v>
      </c>
      <c r="Y49" s="17" t="s">
        <v>60</v>
      </c>
      <c r="AA49" s="19" t="s">
        <v>61</v>
      </c>
      <c r="AB49" s="16" t="s">
        <v>86</v>
      </c>
      <c r="AC49" s="16" t="s">
        <v>87</v>
      </c>
      <c r="AD49" s="20" t="s">
        <v>60</v>
      </c>
      <c r="AE49" s="21"/>
      <c r="AF49" s="22" t="s">
        <v>62</v>
      </c>
      <c r="AG49" s="16" t="s">
        <v>86</v>
      </c>
      <c r="AH49" s="16" t="s">
        <v>87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1.4445105065538983</v>
      </c>
      <c r="C52" s="53">
        <v>6.0883651623455572E-3</v>
      </c>
      <c r="D52" s="53">
        <v>1.4384221413915528</v>
      </c>
      <c r="E52" s="53">
        <v>1.2420622687243674</v>
      </c>
      <c r="F52" s="53">
        <v>5.3501277735351171E-4</v>
      </c>
      <c r="G52" s="53">
        <v>1.2415272559470139</v>
      </c>
      <c r="H52" s="53">
        <v>0.26112850801498366</v>
      </c>
      <c r="I52" s="53">
        <v>0.26101299979680875</v>
      </c>
      <c r="J52" s="54">
        <v>-4.0147272630897683</v>
      </c>
      <c r="K52" s="54">
        <v>-5.7993157124815467E-2</v>
      </c>
      <c r="L52" s="54">
        <v>-6.30166326467934E-2</v>
      </c>
      <c r="M52" s="53" t="s">
        <v>14</v>
      </c>
      <c r="N52" s="53" t="s">
        <v>14</v>
      </c>
      <c r="O52" s="53">
        <v>-5.2362682769464288E-4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66" t="s">
        <v>14</v>
      </c>
      <c r="C53" s="56">
        <v>6.0883651623455572E-3</v>
      </c>
      <c r="D53" s="56">
        <v>-6.0883651623455572E-3</v>
      </c>
      <c r="E53" s="56" t="s">
        <v>14</v>
      </c>
      <c r="F53" s="56">
        <v>5.3501277735351171E-4</v>
      </c>
      <c r="G53" s="56">
        <v>-5.3501277735351171E-4</v>
      </c>
      <c r="H53" s="56" t="s">
        <v>14</v>
      </c>
      <c r="I53" s="56">
        <v>-1.1550821817488713E-4</v>
      </c>
      <c r="J53" s="57" t="s">
        <v>14</v>
      </c>
      <c r="K53" s="57" t="s">
        <v>14</v>
      </c>
      <c r="L53" s="57">
        <v>-5.0234755219779386E-3</v>
      </c>
      <c r="M53" s="56" t="s">
        <v>14</v>
      </c>
      <c r="N53" s="56" t="s">
        <v>14</v>
      </c>
      <c r="O53" s="56">
        <v>-5.2362682769464288E-4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1.4445105065538983</v>
      </c>
      <c r="C54" s="62" t="s">
        <v>14</v>
      </c>
      <c r="D54" s="56">
        <v>1.4445105065538983</v>
      </c>
      <c r="E54" s="56">
        <v>-1.3588689561901512E-2</v>
      </c>
      <c r="F54" s="56" t="s">
        <v>14</v>
      </c>
      <c r="G54" s="56">
        <v>-1.3588689561901512E-2</v>
      </c>
      <c r="H54" s="56">
        <v>1.0476890962251774E-2</v>
      </c>
      <c r="I54" s="56">
        <v>1.0476890962251774E-2</v>
      </c>
      <c r="J54" s="57">
        <v>0.96521713440790913</v>
      </c>
      <c r="K54" s="57">
        <v>1.3942662917580711E-2</v>
      </c>
      <c r="L54" s="57">
        <v>1.3942662917580711E-2</v>
      </c>
      <c r="M54" s="56" t="s">
        <v>14</v>
      </c>
      <c r="N54" s="56" t="s">
        <v>14</v>
      </c>
      <c r="O54" s="56" t="s">
        <v>14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1.4445105065538983</v>
      </c>
      <c r="C55" s="61" t="s">
        <v>14</v>
      </c>
      <c r="D55" s="59">
        <v>1.4445105065538983</v>
      </c>
      <c r="E55" s="59">
        <v>0.10070691004998622</v>
      </c>
      <c r="F55" s="59" t="s">
        <v>14</v>
      </c>
      <c r="G55" s="59">
        <v>0.10070691004998622</v>
      </c>
      <c r="H55" s="59">
        <v>3.2108905926806486E-2</v>
      </c>
      <c r="I55" s="59">
        <v>3.2108905926806486E-2</v>
      </c>
      <c r="J55" s="60">
        <v>0.63658530956860349</v>
      </c>
      <c r="K55" s="60">
        <v>9.1955416798971366E-3</v>
      </c>
      <c r="L55" s="60">
        <v>9.1955416798971366E-3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107</v>
      </c>
      <c r="B56" s="59">
        <v>0</v>
      </c>
      <c r="C56" s="61" t="s">
        <v>14</v>
      </c>
      <c r="D56" s="59">
        <v>0</v>
      </c>
      <c r="E56" s="59">
        <v>-0.11429559961188773</v>
      </c>
      <c r="F56" s="59" t="s">
        <v>14</v>
      </c>
      <c r="G56" s="59">
        <v>-0.11429559961188773</v>
      </c>
      <c r="H56" s="59">
        <v>-2.1632014964554712E-2</v>
      </c>
      <c r="I56" s="59">
        <v>-2.1632014964554712E-2</v>
      </c>
      <c r="J56" s="60">
        <v>3.402036917600062</v>
      </c>
      <c r="K56" s="60">
        <v>4.7471212376835742E-3</v>
      </c>
      <c r="L56" s="60">
        <v>4.7471212376835742E-3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5" t="s">
        <v>111</v>
      </c>
      <c r="B57" s="56">
        <v>0</v>
      </c>
      <c r="C57" s="62" t="s">
        <v>14</v>
      </c>
      <c r="D57" s="56">
        <v>0</v>
      </c>
      <c r="E57" s="56">
        <v>1.2556509582862689</v>
      </c>
      <c r="F57" s="56" t="s">
        <v>14</v>
      </c>
      <c r="G57" s="56">
        <v>1.2556509582862689</v>
      </c>
      <c r="H57" s="56">
        <v>0.25065161705273187</v>
      </c>
      <c r="I57" s="56">
        <v>0.25065161705273187</v>
      </c>
      <c r="J57" s="57">
        <v>-0.54433671477778867</v>
      </c>
      <c r="K57" s="57">
        <v>-7.1935820042396181E-2</v>
      </c>
      <c r="L57" s="57">
        <v>-7.1935820042396181E-2</v>
      </c>
      <c r="M57" s="56" t="s">
        <v>14</v>
      </c>
      <c r="N57" s="56" t="s">
        <v>14</v>
      </c>
      <c r="O57" s="56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63" t="s">
        <v>112</v>
      </c>
      <c r="B58" s="64">
        <v>14.597606648837974</v>
      </c>
      <c r="C58" s="64">
        <v>3.5610625551847068E-2</v>
      </c>
      <c r="D58" s="64">
        <v>14.561996023286127</v>
      </c>
      <c r="E58" s="64">
        <v>1.2527262985317573E-2</v>
      </c>
      <c r="F58" s="64">
        <v>3.6423771807991686E-3</v>
      </c>
      <c r="G58" s="64">
        <v>8.8848858045184054E-3</v>
      </c>
      <c r="H58" s="64">
        <v>0.68535231320425338</v>
      </c>
      <c r="I58" s="64">
        <v>0.68456403768412355</v>
      </c>
      <c r="J58" s="65">
        <v>271.47144475719762</v>
      </c>
      <c r="K58" s="65">
        <v>39.628333669573173</v>
      </c>
      <c r="L58" s="65">
        <v>39.591006859010243</v>
      </c>
      <c r="M58" s="64">
        <v>4.5672114440522966</v>
      </c>
      <c r="N58" s="64">
        <v>0.66670356142346654</v>
      </c>
      <c r="O58" s="64">
        <v>0.6631277769448457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114</v>
      </c>
      <c r="B59" s="56">
        <v>14.597606648837974</v>
      </c>
      <c r="C59" s="62" t="s">
        <v>14</v>
      </c>
      <c r="D59" s="56">
        <v>14.597606648837974</v>
      </c>
      <c r="E59" s="56">
        <v>1.2527262985317573E-2</v>
      </c>
      <c r="F59" s="56" t="s">
        <v>14</v>
      </c>
      <c r="G59" s="56">
        <v>1.2527262985317573E-2</v>
      </c>
      <c r="H59" s="56">
        <v>0.68535231320425338</v>
      </c>
      <c r="I59" s="56">
        <v>0.68535231320425338</v>
      </c>
      <c r="J59" s="57">
        <v>271.47144475719762</v>
      </c>
      <c r="K59" s="57">
        <v>39.628333669573173</v>
      </c>
      <c r="L59" s="57">
        <v>39.628333669573173</v>
      </c>
      <c r="M59" s="56">
        <v>4.5672114440522966</v>
      </c>
      <c r="N59" s="56">
        <v>0.66670356142346654</v>
      </c>
      <c r="O59" s="56">
        <v>0.66670356142346654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116</v>
      </c>
      <c r="B60" s="66" t="s">
        <v>14</v>
      </c>
      <c r="C60" s="56">
        <v>2.7107879018702163E-2</v>
      </c>
      <c r="D60" s="56">
        <v>-2.7107879018702163E-2</v>
      </c>
      <c r="E60" s="56" t="s">
        <v>14</v>
      </c>
      <c r="F60" s="56">
        <v>2.8233060406352337E-3</v>
      </c>
      <c r="G60" s="56">
        <v>-2.8233060406352337E-3</v>
      </c>
      <c r="H60" s="56" t="s">
        <v>14</v>
      </c>
      <c r="I60" s="56">
        <v>-5.6663647672373148E-4</v>
      </c>
      <c r="J60" s="57" t="s">
        <v>14</v>
      </c>
      <c r="K60" s="57" t="s">
        <v>14</v>
      </c>
      <c r="L60" s="57">
        <v>-2.5679392283288974E-2</v>
      </c>
      <c r="M60" s="56" t="s">
        <v>14</v>
      </c>
      <c r="N60" s="56" t="s">
        <v>14</v>
      </c>
      <c r="O60" s="56">
        <v>-2.7773877358265751E-3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133</v>
      </c>
      <c r="B61" s="66" t="s">
        <v>14</v>
      </c>
      <c r="C61" s="56">
        <v>8.5027465331449018E-3</v>
      </c>
      <c r="D61" s="56">
        <v>-8.5027465331449018E-3</v>
      </c>
      <c r="E61" s="56" t="s">
        <v>14</v>
      </c>
      <c r="F61" s="56">
        <v>8.190711401639347E-4</v>
      </c>
      <c r="G61" s="56">
        <v>-8.190711401639347E-4</v>
      </c>
      <c r="H61" s="56" t="s">
        <v>14</v>
      </c>
      <c r="I61" s="56">
        <v>-2.2163904340612866E-4</v>
      </c>
      <c r="J61" s="57" t="s">
        <v>14</v>
      </c>
      <c r="K61" s="57" t="s">
        <v>14</v>
      </c>
      <c r="L61" s="57">
        <v>-1.1647418279640446E-2</v>
      </c>
      <c r="M61" s="56" t="s">
        <v>14</v>
      </c>
      <c r="N61" s="56" t="s">
        <v>14</v>
      </c>
      <c r="O61" s="56">
        <v>-7.9839674279431211E-4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119</v>
      </c>
      <c r="B62" s="64">
        <v>40.28349525726837</v>
      </c>
      <c r="C62" s="64">
        <v>54.907847967723121</v>
      </c>
      <c r="D62" s="64">
        <v>-14.624352710454753</v>
      </c>
      <c r="E62" s="64">
        <v>3.0327914026727325</v>
      </c>
      <c r="F62" s="64">
        <v>3.5537660185536906</v>
      </c>
      <c r="G62" s="64">
        <v>-0.52097461588095806</v>
      </c>
      <c r="H62" s="64">
        <v>1.5413895945316987</v>
      </c>
      <c r="I62" s="64">
        <v>0.19055169372451553</v>
      </c>
      <c r="J62" s="65">
        <v>164.78101351632498</v>
      </c>
      <c r="K62" s="65">
        <v>66.379551764727523</v>
      </c>
      <c r="L62" s="65">
        <v>5.1859991869994957</v>
      </c>
      <c r="M62" s="64">
        <v>7.2940612236659188</v>
      </c>
      <c r="N62" s="64">
        <v>2.9383028070977115</v>
      </c>
      <c r="O62" s="64">
        <v>-0.5279285383558987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120</v>
      </c>
      <c r="B63" s="56">
        <v>39.875638776161324</v>
      </c>
      <c r="C63" s="56">
        <v>40.771378994025639</v>
      </c>
      <c r="D63" s="56">
        <v>-0.89574021786431035</v>
      </c>
      <c r="E63" s="56">
        <v>3.0089689528817796</v>
      </c>
      <c r="F63" s="56">
        <v>2.7159902544126222</v>
      </c>
      <c r="G63" s="56">
        <v>0.29297869846915736</v>
      </c>
      <c r="H63" s="56">
        <v>1.5163683941305524</v>
      </c>
      <c r="I63" s="56">
        <v>0.45819636788956619</v>
      </c>
      <c r="J63" s="57">
        <v>162.44748499664166</v>
      </c>
      <c r="K63" s="57">
        <v>64.776972318219705</v>
      </c>
      <c r="L63" s="57">
        <v>15.97372305679523</v>
      </c>
      <c r="M63" s="56">
        <v>7.3099021146936369</v>
      </c>
      <c r="N63" s="56">
        <v>2.9148701621462125</v>
      </c>
      <c r="O63" s="56">
        <v>0.26731128334191201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8" t="s">
        <v>121</v>
      </c>
      <c r="B64" s="59">
        <v>14.42654741602783</v>
      </c>
      <c r="C64" s="59">
        <v>15.507631929108864</v>
      </c>
      <c r="D64" s="59">
        <v>-1.0810845130810347</v>
      </c>
      <c r="E64" s="59">
        <v>0.75903765383350108</v>
      </c>
      <c r="F64" s="59">
        <v>0.85329580965066731</v>
      </c>
      <c r="G64" s="59">
        <v>-9.4258155817166234E-2</v>
      </c>
      <c r="H64" s="59">
        <v>0.53725215357528211</v>
      </c>
      <c r="I64" s="59">
        <v>0.16412788258928901</v>
      </c>
      <c r="J64" s="60">
        <v>181.67557229065818</v>
      </c>
      <c r="K64" s="60">
        <v>26.209512579851719</v>
      </c>
      <c r="L64" s="60">
        <v>7.1440792716354871</v>
      </c>
      <c r="M64" s="59">
        <v>5.1509255705108057</v>
      </c>
      <c r="N64" s="59">
        <v>0.74310071979404346</v>
      </c>
      <c r="O64" s="59">
        <v>-9.4456048473260279E-2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8" t="s">
        <v>122</v>
      </c>
      <c r="B65" s="59">
        <v>23.7611439212302</v>
      </c>
      <c r="C65" s="59">
        <v>22.284079209772933</v>
      </c>
      <c r="D65" s="59">
        <v>1.4770647114572681</v>
      </c>
      <c r="E65" s="59">
        <v>2.065799575446944</v>
      </c>
      <c r="F65" s="59">
        <v>1.612076983347797</v>
      </c>
      <c r="G65" s="59">
        <v>0.453722592099147</v>
      </c>
      <c r="H65" s="59">
        <v>0.90928635324219664</v>
      </c>
      <c r="I65" s="59">
        <v>0.30464008356184835</v>
      </c>
      <c r="J65" s="60">
        <v>151.05497953463939</v>
      </c>
      <c r="K65" s="60">
        <v>35.892391087410488</v>
      </c>
      <c r="L65" s="60">
        <v>9.7117853142331256</v>
      </c>
      <c r="M65" s="59">
        <v>8.3986875548974158</v>
      </c>
      <c r="N65" s="59">
        <v>1.9956242374136242</v>
      </c>
      <c r="O65" s="59">
        <v>0.42865603744579683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8" t="s">
        <v>123</v>
      </c>
      <c r="B66" s="59">
        <v>1.6879474389032991</v>
      </c>
      <c r="C66" s="59">
        <v>2.9796678551438376</v>
      </c>
      <c r="D66" s="59">
        <v>-1.2917204162405387</v>
      </c>
      <c r="E66" s="59">
        <v>0.18413172360133448</v>
      </c>
      <c r="F66" s="59">
        <v>0.25061746141415764</v>
      </c>
      <c r="G66" s="59">
        <v>-6.6485737812823159E-2</v>
      </c>
      <c r="H66" s="59">
        <v>6.9829887313073657E-2</v>
      </c>
      <c r="I66" s="59">
        <v>-1.0571598261571127E-2</v>
      </c>
      <c r="J66" s="60">
        <v>158.48056576308767</v>
      </c>
      <c r="K66" s="60">
        <v>2.6750686509574972</v>
      </c>
      <c r="L66" s="60">
        <v>-0.88214152907338361</v>
      </c>
      <c r="M66" s="59">
        <v>10.435467413190942</v>
      </c>
      <c r="N66" s="59">
        <v>0.17614520493854485</v>
      </c>
      <c r="O66" s="59">
        <v>-6.688870563062449E-2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124</v>
      </c>
      <c r="B67" s="56">
        <v>0.40785648110704187</v>
      </c>
      <c r="C67" s="56">
        <v>14.136468973697481</v>
      </c>
      <c r="D67" s="56">
        <v>-13.72861249259044</v>
      </c>
      <c r="E67" s="56">
        <v>2.382244979095299E-2</v>
      </c>
      <c r="F67" s="56">
        <v>0.83777576414106814</v>
      </c>
      <c r="G67" s="56">
        <v>-0.8139533143501152</v>
      </c>
      <c r="H67" s="56">
        <v>2.5021200401146339E-2</v>
      </c>
      <c r="I67" s="56">
        <v>-0.26764467416505061</v>
      </c>
      <c r="J67" s="57">
        <v>392.92729691531525</v>
      </c>
      <c r="K67" s="57">
        <v>1.6025794465078234</v>
      </c>
      <c r="L67" s="57">
        <v>-10.787723869795732</v>
      </c>
      <c r="M67" s="56">
        <v>5.7453163151646169</v>
      </c>
      <c r="N67" s="56">
        <v>2.3432644951499174E-2</v>
      </c>
      <c r="O67" s="56">
        <v>-0.79523982169781071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63" t="s">
        <v>125</v>
      </c>
      <c r="B68" s="64">
        <v>14.273699659495758</v>
      </c>
      <c r="C68" s="64">
        <v>45.041842229846374</v>
      </c>
      <c r="D68" s="64">
        <v>-30.768142570350616</v>
      </c>
      <c r="E68" s="64">
        <v>0.34813577802388046</v>
      </c>
      <c r="F68" s="64">
        <v>1.9350615749186111</v>
      </c>
      <c r="G68" s="64">
        <v>-1.5869257968947306</v>
      </c>
      <c r="H68" s="64">
        <v>0.58170089869451969</v>
      </c>
      <c r="I68" s="64">
        <v>-1.8396948340528123</v>
      </c>
      <c r="J68" s="65">
        <v>259.94368227241597</v>
      </c>
      <c r="K68" s="65">
        <v>37.103580491398553</v>
      </c>
      <c r="L68" s="65">
        <v>-135.29052925068567</v>
      </c>
      <c r="M68" s="64">
        <v>2.3498821038742777</v>
      </c>
      <c r="N68" s="64">
        <v>0.33541511385925438</v>
      </c>
      <c r="O68" s="64">
        <v>-1.5357370206283791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131</v>
      </c>
      <c r="B69" s="64">
        <v>0.89514429703088827</v>
      </c>
      <c r="C69" s="67" t="s">
        <v>14</v>
      </c>
      <c r="D69" s="64">
        <v>0.89514429703088827</v>
      </c>
      <c r="E69" s="64">
        <v>1.2950537491900298E-2</v>
      </c>
      <c r="F69" s="64" t="s">
        <v>14</v>
      </c>
      <c r="G69" s="64">
        <v>1.2950537491900298E-2</v>
      </c>
      <c r="H69" s="64" t="s">
        <v>14</v>
      </c>
      <c r="I69" s="64" t="s">
        <v>14</v>
      </c>
      <c r="J69" s="65">
        <v>3320.5761329830852</v>
      </c>
      <c r="K69" s="65">
        <v>29.72394788296689</v>
      </c>
      <c r="L69" s="65">
        <v>29.72394788296689</v>
      </c>
      <c r="M69" s="64">
        <v>41.594928890410976</v>
      </c>
      <c r="N69" s="64">
        <v>0.37233463381656717</v>
      </c>
      <c r="O69" s="64">
        <v>0.37233463381656717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63" t="s">
        <v>126</v>
      </c>
      <c r="B70" s="64">
        <v>9.5678944798012129</v>
      </c>
      <c r="C70" s="67" t="s">
        <v>14</v>
      </c>
      <c r="D70" s="64">
        <v>9.5678944798012129</v>
      </c>
      <c r="E70" s="64">
        <v>2.3919736199503033E-2</v>
      </c>
      <c r="F70" s="64" t="s">
        <v>14</v>
      </c>
      <c r="G70" s="64">
        <v>2.3919736199503033E-2</v>
      </c>
      <c r="H70" s="64">
        <v>0.35074278574791418</v>
      </c>
      <c r="I70" s="64">
        <v>0.35074278574791418</v>
      </c>
      <c r="J70" s="65">
        <v>278.84382284696528</v>
      </c>
      <c r="K70" s="65">
        <v>26.679482733441468</v>
      </c>
      <c r="L70" s="65">
        <v>26.679482733441468</v>
      </c>
      <c r="M70" s="64">
        <v>5.3255165976842012</v>
      </c>
      <c r="N70" s="64">
        <v>0.50953980857072412</v>
      </c>
      <c r="O70" s="64">
        <v>0.50953980857072412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3" t="s">
        <v>127</v>
      </c>
      <c r="B71" s="64">
        <v>9.4330119868995013</v>
      </c>
      <c r="C71" s="67" t="s">
        <v>14</v>
      </c>
      <c r="D71" s="64">
        <v>9.4330119868995013</v>
      </c>
      <c r="E71" s="64">
        <v>0.70262612032640714</v>
      </c>
      <c r="F71" s="64" t="s">
        <v>14</v>
      </c>
      <c r="G71" s="64">
        <v>0.70262612032640714</v>
      </c>
      <c r="H71" s="64">
        <v>0.53724411504796143</v>
      </c>
      <c r="I71" s="64">
        <v>0.53724411504796143</v>
      </c>
      <c r="J71" s="65">
        <v>338.39114438532567</v>
      </c>
      <c r="K71" s="65">
        <v>31.920477212474207</v>
      </c>
      <c r="L71" s="65">
        <v>31.920477212474207</v>
      </c>
      <c r="M71" s="64">
        <v>7.2559315447758852</v>
      </c>
      <c r="N71" s="64">
        <v>0.68445289237993212</v>
      </c>
      <c r="O71" s="64">
        <v>0.68445289237993212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3" t="s">
        <v>128</v>
      </c>
      <c r="B72" s="64">
        <v>8.5285184113574584</v>
      </c>
      <c r="C72" s="64">
        <v>3.363662178663661E-3</v>
      </c>
      <c r="D72" s="64">
        <v>8.5251547491787942</v>
      </c>
      <c r="E72" s="64">
        <v>5.9091828242315028E-2</v>
      </c>
      <c r="F72" s="64">
        <v>-1.5469711507810677E-4</v>
      </c>
      <c r="G72" s="64">
        <v>5.9246525357393137E-2</v>
      </c>
      <c r="H72" s="64">
        <v>-3.1946412761913127E-3</v>
      </c>
      <c r="I72" s="64">
        <v>-0.3691526514257204</v>
      </c>
      <c r="J72" s="65">
        <v>-1.5358008487684933</v>
      </c>
      <c r="K72" s="65">
        <v>-0.13098105814900518</v>
      </c>
      <c r="L72" s="65">
        <v>-0.13098105814900518</v>
      </c>
      <c r="M72" s="64">
        <v>2.3924352159538634E-6</v>
      </c>
      <c r="N72" s="64">
        <v>2.0403927787242505E-7</v>
      </c>
      <c r="O72" s="64">
        <v>2.0403927787242505E-7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63" t="s">
        <v>129</v>
      </c>
      <c r="B73" s="64">
        <v>0.97611875275498139</v>
      </c>
      <c r="C73" s="67" t="s">
        <v>14</v>
      </c>
      <c r="D73" s="64">
        <v>0.97611875275498139</v>
      </c>
      <c r="E73" s="64">
        <v>9.7611875275498396E-6</v>
      </c>
      <c r="F73" s="64" t="s">
        <v>14</v>
      </c>
      <c r="G73" s="64">
        <v>9.7611875275498396E-6</v>
      </c>
      <c r="H73" s="64">
        <v>7.4643940122174728E-3</v>
      </c>
      <c r="I73" s="64">
        <v>7.4643940122174728E-3</v>
      </c>
      <c r="J73" s="65">
        <v>1E-3</v>
      </c>
      <c r="K73" s="65">
        <v>9.7611875275498396E-6</v>
      </c>
      <c r="L73" s="65">
        <v>9.7611875275498396E-6</v>
      </c>
      <c r="M73" s="64">
        <v>1E-3</v>
      </c>
      <c r="N73" s="64">
        <v>9.7611875275498396E-6</v>
      </c>
      <c r="O73" s="64">
        <v>9.7611875275498396E-6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132</v>
      </c>
      <c r="B74" s="71" t="s">
        <v>14</v>
      </c>
      <c r="C74" s="64">
        <v>5.2471495372956147E-3</v>
      </c>
      <c r="D74" s="64">
        <v>-5.2471495372956147E-3</v>
      </c>
      <c r="E74" s="64" t="s">
        <v>14</v>
      </c>
      <c r="F74" s="64">
        <v>8.0774569281271425E-5</v>
      </c>
      <c r="G74" s="64">
        <v>-8.0774569281271425E-5</v>
      </c>
      <c r="H74" s="64" t="s">
        <v>14</v>
      </c>
      <c r="I74" s="64">
        <v>1.1838733322198858E-6</v>
      </c>
      <c r="J74" s="65" t="s">
        <v>14</v>
      </c>
      <c r="K74" s="65" t="s">
        <v>14</v>
      </c>
      <c r="L74" s="65">
        <v>-4.5967710741617214E-3</v>
      </c>
      <c r="M74" s="64" t="s">
        <v>14</v>
      </c>
      <c r="N74" s="64" t="s">
        <v>14</v>
      </c>
      <c r="O74" s="64">
        <v>-8.0107217512225554E-5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8" t="s">
        <v>37</v>
      </c>
      <c r="B75" s="69">
        <v>100.00000000000003</v>
      </c>
      <c r="C75" s="69">
        <v>99.999999999999659</v>
      </c>
      <c r="D75" s="69">
        <v>3.6637359812630166E-13</v>
      </c>
      <c r="E75" s="69">
        <v>5.4341146958539515</v>
      </c>
      <c r="F75" s="69">
        <v>5.4929310608846569</v>
      </c>
      <c r="G75" s="69">
        <v>-5.881636503070542E-2</v>
      </c>
      <c r="H75" s="69">
        <v>3.9618279679773578</v>
      </c>
      <c r="I75" s="69">
        <v>-0.17726627559166053</v>
      </c>
      <c r="J75" s="70">
        <v>231.24640930049532</v>
      </c>
      <c r="K75" s="70">
        <v>231.24640930049549</v>
      </c>
      <c r="L75" s="70">
        <v>-2.3882000764757834</v>
      </c>
      <c r="M75" s="69">
        <v>5.5067587823744573</v>
      </c>
      <c r="N75" s="69">
        <v>5.5067587823744617</v>
      </c>
      <c r="O75" s="69">
        <v>0.16519578390939049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38.25">
      <c r="A1" s="2" t="s">
        <v>0</v>
      </c>
      <c r="B1" s="3" t="s">
        <v>89</v>
      </c>
      <c r="C1" s="3" t="s">
        <v>87</v>
      </c>
    </row>
    <row r="2" spans="1:8">
      <c r="A2" s="4" t="s">
        <v>3</v>
      </c>
      <c r="B2" s="9">
        <v>5.4597039267699259</v>
      </c>
      <c r="C2" s="9">
        <v>5.4929310608846409</v>
      </c>
    </row>
    <row r="3" spans="1:8">
      <c r="A3" s="4" t="s">
        <v>4</v>
      </c>
      <c r="B3" s="10">
        <v>234.38451057485179</v>
      </c>
      <c r="C3" s="10">
        <v>233.63460937696999</v>
      </c>
    </row>
    <row r="4" spans="1:8">
      <c r="A4" s="4" t="s">
        <v>5</v>
      </c>
      <c r="B4" s="9">
        <v>5.4716139794852134</v>
      </c>
      <c r="C4" s="9">
        <v>5.3415629984650526</v>
      </c>
    </row>
    <row r="5" spans="1:8">
      <c r="A5" s="4" t="s">
        <v>6</v>
      </c>
      <c r="B5" s="9">
        <v>6.7329854334666317</v>
      </c>
      <c r="C5" s="9">
        <v>7.2114545270210044</v>
      </c>
    </row>
    <row r="6" spans="1:8">
      <c r="A6" s="4" t="s">
        <v>7</v>
      </c>
      <c r="B6" s="9">
        <v>4.0777167821785767</v>
      </c>
      <c r="C6" s="9">
        <v>4.3246212448895296</v>
      </c>
    </row>
    <row r="7" spans="1:8">
      <c r="A7" s="4" t="s">
        <v>8</v>
      </c>
      <c r="B7" s="9">
        <v>3.991509742217938</v>
      </c>
      <c r="C7" s="9">
        <v>4.139094243568997</v>
      </c>
    </row>
    <row r="8" spans="1:8">
      <c r="A8" s="4" t="s">
        <v>9</v>
      </c>
      <c r="B8" s="9">
        <v>3.907954000201574</v>
      </c>
      <c r="C8" s="9">
        <v>4.8174155260001452</v>
      </c>
    </row>
    <row r="9" spans="1:8">
      <c r="A9" s="4" t="s">
        <v>10</v>
      </c>
      <c r="B9" s="9" t="s">
        <v>88</v>
      </c>
      <c r="C9" s="9" t="s">
        <v>79</v>
      </c>
    </row>
    <row r="10" spans="1:8">
      <c r="A10" s="4" t="s">
        <v>13</v>
      </c>
      <c r="B10" s="39">
        <v>103143377.9680417</v>
      </c>
      <c r="C10" s="7" t="s">
        <v>14</v>
      </c>
    </row>
    <row r="11" spans="1:8">
      <c r="B11" s="1"/>
    </row>
    <row r="12" spans="1:8" ht="38.25">
      <c r="A12" s="5" t="s">
        <v>15</v>
      </c>
      <c r="B12" s="3" t="s">
        <v>89</v>
      </c>
      <c r="C12" s="3" t="s">
        <v>87</v>
      </c>
    </row>
    <row r="13" spans="1:8">
      <c r="A13" s="6" t="s">
        <v>16</v>
      </c>
      <c r="B13" s="9">
        <v>11.05192206579011</v>
      </c>
      <c r="C13" s="9">
        <v>6.1888879698464647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1.880565619244543</v>
      </c>
      <c r="C14" s="12">
        <v>8.3043895269341341</v>
      </c>
      <c r="E14" s="40" t="s">
        <v>22</v>
      </c>
      <c r="F14" s="41">
        <v>5.7015803472060117E-2</v>
      </c>
      <c r="G14" s="41">
        <v>2.5082318460306251E-2</v>
      </c>
      <c r="H14" s="41">
        <v>3.1933485011753852E-2</v>
      </c>
    </row>
    <row r="15" spans="1:8">
      <c r="A15" s="4" t="s">
        <v>23</v>
      </c>
      <c r="B15" s="9">
        <v>6.9637709352645487</v>
      </c>
      <c r="C15" s="12">
        <v>17.707685800606988</v>
      </c>
      <c r="E15" s="40" t="s">
        <v>24</v>
      </c>
      <c r="F15" s="41">
        <v>7.4927197135507079E-2</v>
      </c>
      <c r="G15" s="41">
        <v>0.1077704380468744</v>
      </c>
      <c r="H15" s="41">
        <v>-3.2843240911367269E-2</v>
      </c>
    </row>
    <row r="16" spans="1:8">
      <c r="A16" s="4" t="s">
        <v>25</v>
      </c>
      <c r="B16" s="9">
        <v>31.215536977008789</v>
      </c>
      <c r="C16" s="12">
        <v>22.407953464979641</v>
      </c>
      <c r="E16" s="40" t="s">
        <v>26</v>
      </c>
      <c r="F16" s="41">
        <v>0.1542919626051624</v>
      </c>
      <c r="G16" s="41">
        <v>0.25661173186069719</v>
      </c>
      <c r="H16" s="41">
        <v>-0.10231976925553481</v>
      </c>
    </row>
    <row r="17" spans="1:8">
      <c r="A17" s="4" t="s">
        <v>27</v>
      </c>
      <c r="B17" s="9">
        <v>22.871053723287002</v>
      </c>
      <c r="C17" s="12">
        <v>23.746900718841811</v>
      </c>
      <c r="E17" s="40" t="s">
        <v>28</v>
      </c>
      <c r="F17" s="41">
        <v>0.43178187500910531</v>
      </c>
      <c r="G17" s="41">
        <v>0.59396187121670063</v>
      </c>
      <c r="H17" s="41">
        <v>-0.16217999620759529</v>
      </c>
    </row>
    <row r="18" spans="1:8">
      <c r="A18" s="4" t="s">
        <v>29</v>
      </c>
      <c r="B18" s="12">
        <v>20.342948463848661</v>
      </c>
      <c r="C18" s="12">
        <v>15.23797993958954</v>
      </c>
      <c r="E18" s="40" t="s">
        <v>30</v>
      </c>
      <c r="F18" s="41">
        <v>0.57049380107807313</v>
      </c>
      <c r="G18" s="41">
        <v>0.94379611803914709</v>
      </c>
      <c r="H18" s="41">
        <v>-0.37330231696107402</v>
      </c>
    </row>
    <row r="19" spans="1:8">
      <c r="A19" s="4" t="s">
        <v>31</v>
      </c>
      <c r="B19" s="12">
        <v>5.1110009691313376</v>
      </c>
      <c r="C19" s="12">
        <v>5.4874422519652946</v>
      </c>
      <c r="E19" s="40" t="s">
        <v>32</v>
      </c>
      <c r="F19" s="41">
        <v>1.122537464125192</v>
      </c>
      <c r="G19" s="41">
        <v>1.038495707710436</v>
      </c>
      <c r="H19" s="41">
        <v>8.4041756414756197E-2</v>
      </c>
    </row>
    <row r="20" spans="1:8">
      <c r="A20" s="4" t="s">
        <v>33</v>
      </c>
      <c r="B20" s="12">
        <v>0.2160482319218687</v>
      </c>
      <c r="C20" s="12">
        <v>0.91539666505699746</v>
      </c>
      <c r="E20" s="40" t="s">
        <v>34</v>
      </c>
      <c r="F20" s="41">
        <v>1.3517030740675391</v>
      </c>
      <c r="G20" s="41">
        <v>0.82455823554872298</v>
      </c>
      <c r="H20" s="41">
        <v>0.52714483851881633</v>
      </c>
    </row>
    <row r="21" spans="1:8">
      <c r="A21" s="4" t="s">
        <v>35</v>
      </c>
      <c r="B21" s="12">
        <v>0.34715301450313629</v>
      </c>
      <c r="C21" s="12">
        <v>3.3636621786775961E-3</v>
      </c>
      <c r="E21" s="40" t="s">
        <v>36</v>
      </c>
      <c r="F21" s="41">
        <v>0.23415603334270721</v>
      </c>
      <c r="G21" s="41">
        <v>0.36892918725161977</v>
      </c>
      <c r="H21" s="41">
        <v>-0.13477315390891259</v>
      </c>
    </row>
    <row r="22" spans="1:8">
      <c r="A22" s="2" t="s">
        <v>37</v>
      </c>
      <c r="B22" s="13">
        <f>SUM(B13:B21)</f>
        <v>100</v>
      </c>
      <c r="C22" s="13">
        <f>SUM(C13:C21)</f>
        <v>99.999999999999545</v>
      </c>
      <c r="E22" s="40" t="s">
        <v>38</v>
      </c>
      <c r="F22" s="41">
        <v>0.45273016662016441</v>
      </c>
      <c r="G22" s="41">
        <v>0.42979944244389229</v>
      </c>
      <c r="H22" s="41">
        <v>2.2930724176271951E-2</v>
      </c>
    </row>
    <row r="23" spans="1:8">
      <c r="A23" s="14"/>
      <c r="B23" s="15"/>
      <c r="C23" s="15"/>
      <c r="E23" s="40" t="s">
        <v>39</v>
      </c>
      <c r="F23" s="41">
        <v>0.37935309282314239</v>
      </c>
      <c r="G23" s="41">
        <v>0.49463278151830209</v>
      </c>
      <c r="H23" s="41">
        <v>-0.1152796886951597</v>
      </c>
    </row>
    <row r="24" spans="1:8">
      <c r="E24" s="40" t="s">
        <v>40</v>
      </c>
      <c r="F24" s="41">
        <v>0.63071087359440714</v>
      </c>
      <c r="G24" s="41">
        <v>0.39162399783450119</v>
      </c>
      <c r="H24" s="41">
        <v>0.23908687575990589</v>
      </c>
    </row>
    <row r="25" spans="1:8" ht="38.25">
      <c r="A25" s="5" t="s">
        <v>41</v>
      </c>
      <c r="B25" s="3" t="s">
        <v>89</v>
      </c>
      <c r="C25" s="3" t="s">
        <v>87</v>
      </c>
    </row>
    <row r="26" spans="1:8">
      <c r="A26" s="6" t="s">
        <v>42</v>
      </c>
      <c r="B26" s="9">
        <v>1.818271971450351</v>
      </c>
      <c r="C26" s="9">
        <v>5.3236737012111917</v>
      </c>
    </row>
    <row r="27" spans="1:8">
      <c r="A27" s="4" t="s">
        <v>43</v>
      </c>
      <c r="B27" s="9">
        <v>10.638874969797619</v>
      </c>
      <c r="C27" s="12">
        <v>7.6637842975334776</v>
      </c>
    </row>
    <row r="28" spans="1:8">
      <c r="A28" s="4" t="s">
        <v>44</v>
      </c>
      <c r="B28" s="9">
        <v>8.2526276993687446</v>
      </c>
      <c r="C28" s="12">
        <v>16.39609914779987</v>
      </c>
    </row>
    <row r="29" spans="1:8">
      <c r="A29" s="4" t="s">
        <v>45</v>
      </c>
      <c r="B29" s="9">
        <v>31.268647276263959</v>
      </c>
      <c r="C29" s="12">
        <v>22.550080309561359</v>
      </c>
    </row>
    <row r="30" spans="1:8">
      <c r="A30" s="4" t="s">
        <v>46</v>
      </c>
      <c r="B30" s="9">
        <v>22.73754925965158</v>
      </c>
      <c r="C30" s="12">
        <v>22.536481930591101</v>
      </c>
    </row>
    <row r="31" spans="1:8">
      <c r="A31" s="4" t="s">
        <v>47</v>
      </c>
      <c r="B31" s="12">
        <v>14.871384822931651</v>
      </c>
      <c r="C31" s="12">
        <v>14.08574163808408</v>
      </c>
    </row>
    <row r="32" spans="1:8">
      <c r="A32" s="4" t="s">
        <v>48</v>
      </c>
      <c r="B32" s="12">
        <v>7.7414419665622569</v>
      </c>
      <c r="C32" s="12">
        <v>3.536761203395979</v>
      </c>
    </row>
    <row r="33" spans="1:3">
      <c r="A33" s="4" t="s">
        <v>49</v>
      </c>
      <c r="B33" s="12">
        <v>2.3240490194706891</v>
      </c>
      <c r="C33" s="12">
        <v>7.9040141096438292</v>
      </c>
    </row>
    <row r="34" spans="1:3">
      <c r="A34" s="4" t="s">
        <v>35</v>
      </c>
      <c r="B34" s="12">
        <v>0.34715301450313629</v>
      </c>
      <c r="C34" s="12">
        <v>3.3636621786775961E-3</v>
      </c>
    </row>
    <row r="35" spans="1:3">
      <c r="A35" s="2" t="s">
        <v>37</v>
      </c>
      <c r="B35" s="13">
        <f>SUM(B26:B34)</f>
        <v>100</v>
      </c>
      <c r="C35" s="13">
        <f>SUM(C26:C34)</f>
        <v>99.999999999999559</v>
      </c>
    </row>
    <row r="37" spans="1:3" ht="38.25">
      <c r="A37" s="5" t="s">
        <v>50</v>
      </c>
      <c r="B37" s="3" t="s">
        <v>89</v>
      </c>
      <c r="C37" s="3" t="s">
        <v>87</v>
      </c>
    </row>
    <row r="38" spans="1:3">
      <c r="A38" s="6" t="s">
        <v>51</v>
      </c>
      <c r="B38" s="9">
        <v>11.05192206579011</v>
      </c>
      <c r="C38" s="9">
        <v>6.1658757410577287</v>
      </c>
    </row>
    <row r="39" spans="1:3">
      <c r="A39" s="4" t="s">
        <v>52</v>
      </c>
      <c r="B39" s="9">
        <v>1.880565619244543</v>
      </c>
      <c r="C39" s="12">
        <v>8.3785978856495369</v>
      </c>
    </row>
    <row r="40" spans="1:3">
      <c r="A40" s="4" t="s">
        <v>53</v>
      </c>
      <c r="B40" s="9">
        <v>7.2579482601784511</v>
      </c>
      <c r="C40" s="12">
        <v>16.630222194642421</v>
      </c>
    </row>
    <row r="41" spans="1:3">
      <c r="A41" s="4" t="s">
        <v>54</v>
      </c>
      <c r="B41" s="9">
        <v>28.05245524238795</v>
      </c>
      <c r="C41" s="12">
        <v>19.964399580577421</v>
      </c>
    </row>
    <row r="42" spans="1:3">
      <c r="A42" s="4" t="s">
        <v>55</v>
      </c>
      <c r="B42" s="9">
        <v>26.055439458405509</v>
      </c>
      <c r="C42" s="12">
        <v>20.066982458490251</v>
      </c>
    </row>
    <row r="43" spans="1:3">
      <c r="A43" s="4" t="s">
        <v>56</v>
      </c>
      <c r="B43" s="12">
        <v>19.708632194314951</v>
      </c>
      <c r="C43" s="12">
        <v>15.88557532659439</v>
      </c>
    </row>
    <row r="44" spans="1:3">
      <c r="A44" s="4" t="s">
        <v>57</v>
      </c>
      <c r="B44" s="12">
        <v>2.3180416598022302</v>
      </c>
      <c r="C44" s="12">
        <v>5.8400938356372034</v>
      </c>
    </row>
    <row r="45" spans="1:3">
      <c r="A45" s="4" t="s">
        <v>58</v>
      </c>
      <c r="B45" s="12">
        <v>3.3278424853730928</v>
      </c>
      <c r="C45" s="12">
        <v>7.064889315171885</v>
      </c>
    </row>
    <row r="46" spans="1:3">
      <c r="A46" s="4" t="s">
        <v>35</v>
      </c>
      <c r="B46" s="12">
        <v>0.34715301450313629</v>
      </c>
      <c r="C46" s="12">
        <v>3.3636621786775961E-3</v>
      </c>
    </row>
    <row r="47" spans="1:3">
      <c r="A47" s="2" t="s">
        <v>37</v>
      </c>
      <c r="B47" s="13">
        <f>SUM(B38:B46)</f>
        <v>99.999999999999972</v>
      </c>
      <c r="C47" s="13">
        <f>SUM(C38:C46)</f>
        <v>99.999999999999517</v>
      </c>
    </row>
    <row r="49" spans="1:35" ht="39">
      <c r="Q49" s="16" t="s">
        <v>59</v>
      </c>
      <c r="R49" s="16" t="s">
        <v>89</v>
      </c>
      <c r="S49" s="16" t="s">
        <v>87</v>
      </c>
      <c r="T49" s="17" t="s">
        <v>60</v>
      </c>
      <c r="U49" s="18"/>
      <c r="V49" s="16" t="s">
        <v>59</v>
      </c>
      <c r="W49" s="16" t="s">
        <v>89</v>
      </c>
      <c r="X49" s="16" t="s">
        <v>87</v>
      </c>
      <c r="Y49" s="17" t="s">
        <v>60</v>
      </c>
      <c r="AA49" s="19" t="s">
        <v>61</v>
      </c>
      <c r="AB49" s="16" t="s">
        <v>89</v>
      </c>
      <c r="AC49" s="16" t="s">
        <v>87</v>
      </c>
      <c r="AD49" s="20" t="s">
        <v>60</v>
      </c>
      <c r="AE49" s="21"/>
      <c r="AF49" s="22" t="s">
        <v>62</v>
      </c>
      <c r="AG49" s="16" t="s">
        <v>89</v>
      </c>
      <c r="AH49" s="16" t="s">
        <v>87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1.4585575047856143</v>
      </c>
      <c r="C52" s="53">
        <v>6.0883651623455425E-3</v>
      </c>
      <c r="D52" s="53">
        <v>1.4524691396232687</v>
      </c>
      <c r="E52" s="53">
        <v>1.3357782868652883</v>
      </c>
      <c r="F52" s="53">
        <v>5.3501277735351041E-4</v>
      </c>
      <c r="G52" s="53">
        <v>1.3352432740879348</v>
      </c>
      <c r="H52" s="53">
        <v>0.27442411585050319</v>
      </c>
      <c r="I52" s="53">
        <v>0.27430860763232828</v>
      </c>
      <c r="J52" s="54">
        <v>-3.9919737938833886</v>
      </c>
      <c r="K52" s="54">
        <v>-5.8225233359761167E-2</v>
      </c>
      <c r="L52" s="54">
        <v>-6.3248708881739099E-2</v>
      </c>
      <c r="M52" s="53" t="s">
        <v>14</v>
      </c>
      <c r="N52" s="53" t="s">
        <v>14</v>
      </c>
      <c r="O52" s="53">
        <v>-5.2362682769464168E-4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66" t="s">
        <v>14</v>
      </c>
      <c r="C53" s="56">
        <v>6.0883651623455425E-3</v>
      </c>
      <c r="D53" s="56">
        <v>-6.0883651623455425E-3</v>
      </c>
      <c r="E53" s="56" t="s">
        <v>14</v>
      </c>
      <c r="F53" s="56">
        <v>5.3501277735351041E-4</v>
      </c>
      <c r="G53" s="56">
        <v>-5.3501277735351041E-4</v>
      </c>
      <c r="H53" s="56" t="s">
        <v>14</v>
      </c>
      <c r="I53" s="56">
        <v>-1.1550821817488684E-4</v>
      </c>
      <c r="J53" s="57" t="s">
        <v>14</v>
      </c>
      <c r="K53" s="57" t="s">
        <v>14</v>
      </c>
      <c r="L53" s="57">
        <v>-5.0234755219779265E-3</v>
      </c>
      <c r="M53" s="56" t="s">
        <v>14</v>
      </c>
      <c r="N53" s="56" t="s">
        <v>14</v>
      </c>
      <c r="O53" s="56">
        <v>-5.2362682769464168E-4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1.4585575047856143</v>
      </c>
      <c r="C54" s="62" t="s">
        <v>14</v>
      </c>
      <c r="D54" s="56">
        <v>1.4585575047856143</v>
      </c>
      <c r="E54" s="56">
        <v>6.2826250576031736E-2</v>
      </c>
      <c r="F54" s="56" t="s">
        <v>14</v>
      </c>
      <c r="G54" s="56">
        <v>6.2826250576031736E-2</v>
      </c>
      <c r="H54" s="56">
        <v>1.838645767366108E-2</v>
      </c>
      <c r="I54" s="56">
        <v>1.838645767366108E-2</v>
      </c>
      <c r="J54" s="57">
        <v>0.94677189561932762</v>
      </c>
      <c r="K54" s="57">
        <v>1.3809212536756725E-2</v>
      </c>
      <c r="L54" s="57">
        <v>1.3809212536756725E-2</v>
      </c>
      <c r="M54" s="56" t="s">
        <v>14</v>
      </c>
      <c r="N54" s="56" t="s">
        <v>14</v>
      </c>
      <c r="O54" s="56" t="s">
        <v>14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1.4585575047856143</v>
      </c>
      <c r="C55" s="61" t="s">
        <v>14</v>
      </c>
      <c r="D55" s="59">
        <v>1.4585575047856143</v>
      </c>
      <c r="E55" s="59">
        <v>0.10169175216273671</v>
      </c>
      <c r="F55" s="59" t="s">
        <v>14</v>
      </c>
      <c r="G55" s="59">
        <v>0.10169175216273671</v>
      </c>
      <c r="H55" s="59">
        <v>3.2421631139007354E-2</v>
      </c>
      <c r="I55" s="59">
        <v>3.2421631139007354E-2</v>
      </c>
      <c r="J55" s="60">
        <v>0.63654299499608846</v>
      </c>
      <c r="K55" s="60">
        <v>9.2843456247025651E-3</v>
      </c>
      <c r="L55" s="60">
        <v>9.2843456247025651E-3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107</v>
      </c>
      <c r="B56" s="59">
        <v>0</v>
      </c>
      <c r="C56" s="61" t="s">
        <v>14</v>
      </c>
      <c r="D56" s="59">
        <v>0</v>
      </c>
      <c r="E56" s="59">
        <v>-3.8865501586704973E-2</v>
      </c>
      <c r="F56" s="59" t="s">
        <v>14</v>
      </c>
      <c r="G56" s="59">
        <v>-3.8865501586704973E-2</v>
      </c>
      <c r="H56" s="59">
        <v>-1.4035173465346273E-2</v>
      </c>
      <c r="I56" s="59">
        <v>-1.4035173465346273E-2</v>
      </c>
      <c r="J56" s="60">
        <v>4.6151798088018614</v>
      </c>
      <c r="K56" s="60">
        <v>4.5248669120541603E-3</v>
      </c>
      <c r="L56" s="60">
        <v>4.5248669120541603E-3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5" t="s">
        <v>111</v>
      </c>
      <c r="B57" s="56">
        <v>0</v>
      </c>
      <c r="C57" s="62" t="s">
        <v>14</v>
      </c>
      <c r="D57" s="56">
        <v>0</v>
      </c>
      <c r="E57" s="56">
        <v>1.2729520362892566</v>
      </c>
      <c r="F57" s="56" t="s">
        <v>14</v>
      </c>
      <c r="G57" s="56">
        <v>1.2729520362892566</v>
      </c>
      <c r="H57" s="56">
        <v>0.2560376581768421</v>
      </c>
      <c r="I57" s="56">
        <v>0.2560376581768421</v>
      </c>
      <c r="J57" s="57">
        <v>-0.54365506731402646</v>
      </c>
      <c r="K57" s="57">
        <v>-7.203444589651789E-2</v>
      </c>
      <c r="L57" s="57">
        <v>-7.203444589651789E-2</v>
      </c>
      <c r="M57" s="56" t="s">
        <v>14</v>
      </c>
      <c r="N57" s="56" t="s">
        <v>14</v>
      </c>
      <c r="O57" s="56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63" t="s">
        <v>112</v>
      </c>
      <c r="B58" s="64">
        <v>14.661256306896567</v>
      </c>
      <c r="C58" s="64">
        <v>3.5610625551846964E-2</v>
      </c>
      <c r="D58" s="64">
        <v>14.62564568134472</v>
      </c>
      <c r="E58" s="64">
        <v>1.2581590113393043E-2</v>
      </c>
      <c r="F58" s="64">
        <v>3.6423771807991578E-3</v>
      </c>
      <c r="G58" s="64">
        <v>8.939212932593886E-3</v>
      </c>
      <c r="H58" s="64">
        <v>0.68831372370244603</v>
      </c>
      <c r="I58" s="64">
        <v>0.6875254481823162</v>
      </c>
      <c r="J58" s="65">
        <v>271.40892774430716</v>
      </c>
      <c r="K58" s="65">
        <v>39.791958536392578</v>
      </c>
      <c r="L58" s="65">
        <v>39.754631725829647</v>
      </c>
      <c r="M58" s="64">
        <v>4.5703243710779766</v>
      </c>
      <c r="N58" s="64">
        <v>0.6700669701003007</v>
      </c>
      <c r="O58" s="64">
        <v>0.66649118562167986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114</v>
      </c>
      <c r="B59" s="56">
        <v>14.661256306896567</v>
      </c>
      <c r="C59" s="62" t="s">
        <v>14</v>
      </c>
      <c r="D59" s="56">
        <v>14.661256306896567</v>
      </c>
      <c r="E59" s="56">
        <v>1.2581590113393043E-2</v>
      </c>
      <c r="F59" s="56" t="s">
        <v>14</v>
      </c>
      <c r="G59" s="56">
        <v>1.2581590113393043E-2</v>
      </c>
      <c r="H59" s="56">
        <v>0.68831372370244603</v>
      </c>
      <c r="I59" s="56">
        <v>0.68831372370244603</v>
      </c>
      <c r="J59" s="57">
        <v>271.40892774430716</v>
      </c>
      <c r="K59" s="57">
        <v>39.791958536392578</v>
      </c>
      <c r="L59" s="57">
        <v>39.791958536392578</v>
      </c>
      <c r="M59" s="56">
        <v>4.5703243710779766</v>
      </c>
      <c r="N59" s="56">
        <v>0.6700669701003007</v>
      </c>
      <c r="O59" s="56">
        <v>0.6700669701003007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116</v>
      </c>
      <c r="B60" s="66" t="s">
        <v>14</v>
      </c>
      <c r="C60" s="56">
        <v>2.7107879018702086E-2</v>
      </c>
      <c r="D60" s="56">
        <v>-2.7107879018702086E-2</v>
      </c>
      <c r="E60" s="56" t="s">
        <v>14</v>
      </c>
      <c r="F60" s="56">
        <v>2.8233060406352255E-3</v>
      </c>
      <c r="G60" s="56">
        <v>-2.8233060406352255E-3</v>
      </c>
      <c r="H60" s="56" t="s">
        <v>14</v>
      </c>
      <c r="I60" s="56">
        <v>-5.6663647672372986E-4</v>
      </c>
      <c r="J60" s="57" t="s">
        <v>14</v>
      </c>
      <c r="K60" s="57" t="s">
        <v>14</v>
      </c>
      <c r="L60" s="57">
        <v>-2.5679392283288898E-2</v>
      </c>
      <c r="M60" s="56" t="s">
        <v>14</v>
      </c>
      <c r="N60" s="56" t="s">
        <v>14</v>
      </c>
      <c r="O60" s="56">
        <v>-2.7773877358265669E-3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133</v>
      </c>
      <c r="B61" s="66" t="s">
        <v>14</v>
      </c>
      <c r="C61" s="56">
        <v>8.5027465331448757E-3</v>
      </c>
      <c r="D61" s="56">
        <v>-8.5027465331448757E-3</v>
      </c>
      <c r="E61" s="56" t="s">
        <v>14</v>
      </c>
      <c r="F61" s="56">
        <v>8.1907114016393243E-4</v>
      </c>
      <c r="G61" s="56">
        <v>-8.1907114016393243E-4</v>
      </c>
      <c r="H61" s="56" t="s">
        <v>14</v>
      </c>
      <c r="I61" s="56">
        <v>-2.2163904340612801E-4</v>
      </c>
      <c r="J61" s="57" t="s">
        <v>14</v>
      </c>
      <c r="K61" s="57" t="s">
        <v>14</v>
      </c>
      <c r="L61" s="57">
        <v>-1.1647418279640411E-2</v>
      </c>
      <c r="M61" s="56" t="s">
        <v>14</v>
      </c>
      <c r="N61" s="56" t="s">
        <v>14</v>
      </c>
      <c r="O61" s="56">
        <v>-7.9839674279430983E-4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63" t="s">
        <v>119</v>
      </c>
      <c r="B62" s="64">
        <v>40.954896383294312</v>
      </c>
      <c r="C62" s="64">
        <v>54.907847967722979</v>
      </c>
      <c r="D62" s="64">
        <v>-13.95295158442867</v>
      </c>
      <c r="E62" s="64">
        <v>3.0536423171995795</v>
      </c>
      <c r="F62" s="64">
        <v>3.5537660185536799</v>
      </c>
      <c r="G62" s="64">
        <v>-0.50012370135410045</v>
      </c>
      <c r="H62" s="64">
        <v>1.5575478075163096</v>
      </c>
      <c r="I62" s="64">
        <v>0.2067099067091307</v>
      </c>
      <c r="J62" s="65">
        <v>163.48837632744284</v>
      </c>
      <c r="K62" s="65">
        <v>66.956495123634454</v>
      </c>
      <c r="L62" s="65">
        <v>5.7629425459066042</v>
      </c>
      <c r="M62" s="64">
        <v>7.2250038909274732</v>
      </c>
      <c r="N62" s="64">
        <v>2.9589928572183291</v>
      </c>
      <c r="O62" s="64">
        <v>-0.5072384882352714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120</v>
      </c>
      <c r="B63" s="56">
        <v>40.547495757603926</v>
      </c>
      <c r="C63" s="56">
        <v>40.771378994025532</v>
      </c>
      <c r="D63" s="56">
        <v>-0.22388323642160701</v>
      </c>
      <c r="E63" s="56">
        <v>3.0298464934236056</v>
      </c>
      <c r="F63" s="56">
        <v>2.7159902544126142</v>
      </c>
      <c r="G63" s="56">
        <v>0.31385623901099136</v>
      </c>
      <c r="H63" s="56">
        <v>1.5325545729567338</v>
      </c>
      <c r="I63" s="56">
        <v>0.47438254671575075</v>
      </c>
      <c r="J63" s="57">
        <v>161.18309068504416</v>
      </c>
      <c r="K63" s="57">
        <v>65.355706857493146</v>
      </c>
      <c r="L63" s="57">
        <v>16.552457596068813</v>
      </c>
      <c r="M63" s="56">
        <v>7.2398710395128214</v>
      </c>
      <c r="N63" s="56">
        <v>2.9355864026024565</v>
      </c>
      <c r="O63" s="56">
        <v>0.28802752379816399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8" t="s">
        <v>121</v>
      </c>
      <c r="B64" s="59">
        <v>14.417804946400715</v>
      </c>
      <c r="C64" s="59">
        <v>15.507631929108829</v>
      </c>
      <c r="D64" s="59">
        <v>-1.0898269827081142</v>
      </c>
      <c r="E64" s="59">
        <v>0.75919895791478897</v>
      </c>
      <c r="F64" s="59">
        <v>0.85329580965066476</v>
      </c>
      <c r="G64" s="59">
        <v>-9.4096851735875786E-2</v>
      </c>
      <c r="H64" s="59">
        <v>0.5368988327947477</v>
      </c>
      <c r="I64" s="59">
        <v>0.16377456180875583</v>
      </c>
      <c r="J64" s="60">
        <v>181.58704807706943</v>
      </c>
      <c r="K64" s="60">
        <v>26.180866399678759</v>
      </c>
      <c r="L64" s="60">
        <v>7.1154330914625881</v>
      </c>
      <c r="M64" s="59">
        <v>5.1551692752743268</v>
      </c>
      <c r="N64" s="59">
        <v>0.74326225076583186</v>
      </c>
      <c r="O64" s="59">
        <v>-9.4294517501469333E-2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8" t="s">
        <v>122</v>
      </c>
      <c r="B65" s="59">
        <v>24.441227589065267</v>
      </c>
      <c r="C65" s="59">
        <v>22.284079209772873</v>
      </c>
      <c r="D65" s="59">
        <v>2.1571483792923951</v>
      </c>
      <c r="E65" s="59">
        <v>2.0865217547240085</v>
      </c>
      <c r="F65" s="59">
        <v>1.6120769833477926</v>
      </c>
      <c r="G65" s="59">
        <v>0.47444477137621588</v>
      </c>
      <c r="H65" s="59">
        <v>0.92582111551568924</v>
      </c>
      <c r="I65" s="59">
        <v>0.32117484583534261</v>
      </c>
      <c r="J65" s="60">
        <v>149.33869936487216</v>
      </c>
      <c r="K65" s="60">
        <v>36.500211390318363</v>
      </c>
      <c r="L65" s="60">
        <v>10.319605617141072</v>
      </c>
      <c r="M65" s="59">
        <v>8.2490961648861969</v>
      </c>
      <c r="N65" s="59">
        <v>2.0161803677006902</v>
      </c>
      <c r="O65" s="59">
        <v>0.44921216773286776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8" t="s">
        <v>123</v>
      </c>
      <c r="B66" s="59">
        <v>1.6884632221379394</v>
      </c>
      <c r="C66" s="59">
        <v>2.9796678551438296</v>
      </c>
      <c r="D66" s="59">
        <v>-1.2912046330058904</v>
      </c>
      <c r="E66" s="59">
        <v>0.18412578078480799</v>
      </c>
      <c r="F66" s="59">
        <v>0.25061746141415686</v>
      </c>
      <c r="G66" s="59">
        <v>-6.6491680629348876E-2</v>
      </c>
      <c r="H66" s="59">
        <v>6.9834624646296861E-2</v>
      </c>
      <c r="I66" s="59">
        <v>-1.0566860928347688E-2</v>
      </c>
      <c r="J66" s="60">
        <v>158.40611938881352</v>
      </c>
      <c r="K66" s="60">
        <v>2.6746290674960318</v>
      </c>
      <c r="L66" s="60">
        <v>-0.88258111253483795</v>
      </c>
      <c r="M66" s="59">
        <v>10.432195491525153</v>
      </c>
      <c r="N66" s="59">
        <v>0.17614378413593443</v>
      </c>
      <c r="O66" s="59">
        <v>-6.6890126433234359E-2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5" t="s">
        <v>124</v>
      </c>
      <c r="B67" s="56">
        <v>0.40740062569038415</v>
      </c>
      <c r="C67" s="56">
        <v>14.136468973697443</v>
      </c>
      <c r="D67" s="56">
        <v>-13.729068348007059</v>
      </c>
      <c r="E67" s="56">
        <v>2.3795823775973928E-2</v>
      </c>
      <c r="F67" s="56">
        <v>0.83777576414106558</v>
      </c>
      <c r="G67" s="56">
        <v>-0.81397994036509169</v>
      </c>
      <c r="H67" s="56">
        <v>2.4993234559575837E-2</v>
      </c>
      <c r="I67" s="56">
        <v>-0.26767264000662006</v>
      </c>
      <c r="J67" s="57">
        <v>392.92729691531525</v>
      </c>
      <c r="K67" s="57">
        <v>1.600788266141308</v>
      </c>
      <c r="L67" s="57">
        <v>-10.78951505016221</v>
      </c>
      <c r="M67" s="56">
        <v>5.7453163151646169</v>
      </c>
      <c r="N67" s="56">
        <v>2.3406454615872374E-2</v>
      </c>
      <c r="O67" s="56">
        <v>-0.79526601203343561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63" t="s">
        <v>125</v>
      </c>
      <c r="B68" s="64">
        <v>15.251723966984649</v>
      </c>
      <c r="C68" s="64">
        <v>45.041842229846225</v>
      </c>
      <c r="D68" s="64">
        <v>-29.790118262861576</v>
      </c>
      <c r="E68" s="64">
        <v>0.37544994290666006</v>
      </c>
      <c r="F68" s="64">
        <v>1.9350615749186058</v>
      </c>
      <c r="G68" s="64">
        <v>-1.5596116320119457</v>
      </c>
      <c r="H68" s="64">
        <v>0.61971624758841359</v>
      </c>
      <c r="I68" s="64">
        <v>-1.8016794851589104</v>
      </c>
      <c r="J68" s="65">
        <v>258.18815818321769</v>
      </c>
      <c r="K68" s="65">
        <v>39.378145201546069</v>
      </c>
      <c r="L68" s="65">
        <v>-133.01596454053765</v>
      </c>
      <c r="M68" s="64">
        <v>2.3751940393030142</v>
      </c>
      <c r="N68" s="64">
        <v>0.36225803855476862</v>
      </c>
      <c r="O68" s="64">
        <v>-1.5088940959328587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131</v>
      </c>
      <c r="B69" s="64">
        <v>0.91774588221307107</v>
      </c>
      <c r="C69" s="67" t="s">
        <v>14</v>
      </c>
      <c r="D69" s="64">
        <v>0.91774588221307107</v>
      </c>
      <c r="E69" s="64">
        <v>1.3277526869198577E-2</v>
      </c>
      <c r="F69" s="64" t="s">
        <v>14</v>
      </c>
      <c r="G69" s="64">
        <v>1.3277526869198577E-2</v>
      </c>
      <c r="H69" s="64" t="s">
        <v>14</v>
      </c>
      <c r="I69" s="64" t="s">
        <v>14</v>
      </c>
      <c r="J69" s="65">
        <v>3320.5761329830848</v>
      </c>
      <c r="K69" s="65">
        <v>30.474450726202285</v>
      </c>
      <c r="L69" s="65">
        <v>30.474450726202285</v>
      </c>
      <c r="M69" s="64">
        <v>41.594928890410976</v>
      </c>
      <c r="N69" s="64">
        <v>0.38173574710120173</v>
      </c>
      <c r="O69" s="64">
        <v>0.38173574710120173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63" t="s">
        <v>126</v>
      </c>
      <c r="B70" s="64">
        <v>9.7288650185972934</v>
      </c>
      <c r="C70" s="67" t="s">
        <v>14</v>
      </c>
      <c r="D70" s="64">
        <v>9.7288650185972934</v>
      </c>
      <c r="E70" s="64">
        <v>2.4322162546493234E-2</v>
      </c>
      <c r="F70" s="64" t="s">
        <v>14</v>
      </c>
      <c r="G70" s="64">
        <v>2.4322162546493234E-2</v>
      </c>
      <c r="H70" s="64">
        <v>0.35832843505333778</v>
      </c>
      <c r="I70" s="64">
        <v>0.35832843505333778</v>
      </c>
      <c r="J70" s="65">
        <v>280.24393752180674</v>
      </c>
      <c r="K70" s="65">
        <v>27.264554404298714</v>
      </c>
      <c r="L70" s="65">
        <v>27.264554404298714</v>
      </c>
      <c r="M70" s="64">
        <v>5.3104235973222922</v>
      </c>
      <c r="N70" s="64">
        <v>0.51664394369922473</v>
      </c>
      <c r="O70" s="64">
        <v>0.51664394369922473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3" t="s">
        <v>127</v>
      </c>
      <c r="B71" s="64">
        <v>8.9047093331712048</v>
      </c>
      <c r="C71" s="67" t="s">
        <v>14</v>
      </c>
      <c r="D71" s="64">
        <v>8.9047093331712048</v>
      </c>
      <c r="E71" s="64">
        <v>0.59630417172565109</v>
      </c>
      <c r="F71" s="64" t="s">
        <v>14</v>
      </c>
      <c r="G71" s="64">
        <v>0.59630417172565109</v>
      </c>
      <c r="H71" s="64">
        <v>0.50396504322851132</v>
      </c>
      <c r="I71" s="64">
        <v>0.50396504322851132</v>
      </c>
      <c r="J71" s="65">
        <v>345.28473225560583</v>
      </c>
      <c r="K71" s="65">
        <v>30.746601779180114</v>
      </c>
      <c r="L71" s="65">
        <v>30.746601779180114</v>
      </c>
      <c r="M71" s="64">
        <v>6.5349040135416185</v>
      </c>
      <c r="N71" s="64">
        <v>0.58191420760762003</v>
      </c>
      <c r="O71" s="64">
        <v>0.58191420760762003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3" t="s">
        <v>128</v>
      </c>
      <c r="B72" s="64">
        <v>7.9215832536234734</v>
      </c>
      <c r="C72" s="64">
        <v>3.363662178672313E-3</v>
      </c>
      <c r="D72" s="64">
        <v>7.9182195914448013</v>
      </c>
      <c r="E72" s="64">
        <v>4.834592192015242E-2</v>
      </c>
      <c r="F72" s="64">
        <v>-1.5469711507810381E-4</v>
      </c>
      <c r="G72" s="64">
        <v>4.8500619035230522E-2</v>
      </c>
      <c r="H72" s="64">
        <v>-1.2130534319295484E-2</v>
      </c>
      <c r="I72" s="64">
        <v>-0.37808854446882351</v>
      </c>
      <c r="J72" s="65">
        <v>-2.1393699244233426</v>
      </c>
      <c r="K72" s="65">
        <v>-0.16947196966617656</v>
      </c>
      <c r="L72" s="65">
        <v>-0.16947196966617656</v>
      </c>
      <c r="M72" s="64">
        <v>2.6330627662958712E-6</v>
      </c>
      <c r="N72" s="64">
        <v>2.085802591522885E-7</v>
      </c>
      <c r="O72" s="64">
        <v>2.085802591522885E-7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63" t="s">
        <v>129</v>
      </c>
      <c r="B73" s="64">
        <v>0.20066235043381012</v>
      </c>
      <c r="C73" s="67" t="s">
        <v>14</v>
      </c>
      <c r="D73" s="64">
        <v>0.20066235043381012</v>
      </c>
      <c r="E73" s="64">
        <v>2.006623504338095E-6</v>
      </c>
      <c r="F73" s="64" t="s">
        <v>14</v>
      </c>
      <c r="G73" s="64">
        <v>2.006623504338095E-6</v>
      </c>
      <c r="H73" s="64">
        <v>1.344903597715569E-3</v>
      </c>
      <c r="I73" s="64">
        <v>1.344903597715569E-3</v>
      </c>
      <c r="J73" s="65">
        <v>9.999999999999959E-4</v>
      </c>
      <c r="K73" s="65">
        <v>2.006623504338095E-6</v>
      </c>
      <c r="L73" s="65">
        <v>2.006623504338095E-6</v>
      </c>
      <c r="M73" s="64">
        <v>9.999999999999959E-4</v>
      </c>
      <c r="N73" s="64">
        <v>2.006623504338095E-6</v>
      </c>
      <c r="O73" s="64">
        <v>2.006623504338095E-6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74" s="63" t="s">
        <v>132</v>
      </c>
      <c r="B74" s="71" t="s">
        <v>14</v>
      </c>
      <c r="C74" s="64">
        <v>5.2471495372955999E-3</v>
      </c>
      <c r="D74" s="64">
        <v>-5.2471495372955999E-3</v>
      </c>
      <c r="E74" s="64" t="s">
        <v>14</v>
      </c>
      <c r="F74" s="64">
        <v>8.0774569281271181E-5</v>
      </c>
      <c r="G74" s="64">
        <v>-8.0774569281271181E-5</v>
      </c>
      <c r="H74" s="64" t="s">
        <v>14</v>
      </c>
      <c r="I74" s="64">
        <v>1.1838733322198822E-6</v>
      </c>
      <c r="J74" s="65" t="s">
        <v>14</v>
      </c>
      <c r="K74" s="65" t="s">
        <v>14</v>
      </c>
      <c r="L74" s="65">
        <v>-4.5967710741617093E-3</v>
      </c>
      <c r="M74" s="64" t="s">
        <v>14</v>
      </c>
      <c r="N74" s="64" t="s">
        <v>14</v>
      </c>
      <c r="O74" s="64">
        <v>-8.0107217512225324E-5</v>
      </c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75" s="68" t="s">
        <v>37</v>
      </c>
      <c r="B75" s="69">
        <v>99.999999999999986</v>
      </c>
      <c r="C75" s="69">
        <v>99.999999999999361</v>
      </c>
      <c r="D75" s="69">
        <v>6.2172489379008766E-13</v>
      </c>
      <c r="E75" s="69">
        <v>5.4597039267699214</v>
      </c>
      <c r="F75" s="69">
        <v>5.4929310608846409</v>
      </c>
      <c r="G75" s="69">
        <v>-3.3227134114719448E-2</v>
      </c>
      <c r="H75" s="69">
        <v>3.9915097422179415</v>
      </c>
      <c r="I75" s="69">
        <v>-0.1475845013510626</v>
      </c>
      <c r="J75" s="70">
        <v>234.38451057485187</v>
      </c>
      <c r="K75" s="70">
        <v>234.38451057485176</v>
      </c>
      <c r="L75" s="70">
        <v>0.74990119788117227</v>
      </c>
      <c r="M75" s="69">
        <v>5.4716139794852099</v>
      </c>
      <c r="N75" s="69">
        <v>5.471613979485209</v>
      </c>
      <c r="O75" s="69">
        <v>0.13005098102015289</v>
      </c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51">
      <c r="A1" s="2" t="s">
        <v>0</v>
      </c>
      <c r="B1" s="3" t="s">
        <v>90</v>
      </c>
      <c r="C1" s="3" t="s">
        <v>91</v>
      </c>
    </row>
    <row r="2" spans="1:8">
      <c r="A2" s="4" t="s">
        <v>3</v>
      </c>
      <c r="B2" s="9">
        <v>4.0991867195315921</v>
      </c>
      <c r="C2" s="9">
        <v>4.354296651567231</v>
      </c>
    </row>
    <row r="3" spans="1:8">
      <c r="A3" s="4" t="s">
        <v>4</v>
      </c>
      <c r="B3" s="10">
        <v>43.314489407245333</v>
      </c>
      <c r="C3" s="10">
        <v>31.599441985532781</v>
      </c>
    </row>
    <row r="4" spans="1:8">
      <c r="A4" s="4" t="s">
        <v>5</v>
      </c>
      <c r="B4" s="9">
        <v>3.288179989506439</v>
      </c>
      <c r="C4" s="9">
        <v>3.1047740359166811</v>
      </c>
    </row>
    <row r="5" spans="1:8">
      <c r="A5" s="4" t="s">
        <v>6</v>
      </c>
      <c r="B5" s="9">
        <v>5.4125613256065854</v>
      </c>
      <c r="C5" s="9">
        <v>5.2120938511249006</v>
      </c>
    </row>
    <row r="6" spans="1:8">
      <c r="A6" s="4" t="s">
        <v>7</v>
      </c>
      <c r="B6" s="9">
        <v>2.4119957681969848</v>
      </c>
      <c r="C6" s="9">
        <v>2.3299670361061562</v>
      </c>
    </row>
    <row r="7" spans="1:8">
      <c r="A7" s="4" t="s">
        <v>8</v>
      </c>
      <c r="B7" s="9">
        <v>2.4107371331499281</v>
      </c>
      <c r="C7" s="9">
        <v>2.3273856343449562</v>
      </c>
    </row>
    <row r="8" spans="1:8">
      <c r="A8" s="4" t="s">
        <v>9</v>
      </c>
      <c r="B8" s="9">
        <v>2.5644820991091768</v>
      </c>
      <c r="C8" s="9">
        <v>2.812311114440015</v>
      </c>
    </row>
    <row r="9" spans="1:8">
      <c r="A9" s="4" t="s">
        <v>10</v>
      </c>
      <c r="B9" s="9" t="s">
        <v>66</v>
      </c>
      <c r="C9" s="9" t="s">
        <v>12</v>
      </c>
    </row>
    <row r="10" spans="1:8">
      <c r="A10" s="4" t="s">
        <v>13</v>
      </c>
      <c r="B10" s="39">
        <v>1765956845.8461871</v>
      </c>
      <c r="C10" s="7" t="s">
        <v>14</v>
      </c>
    </row>
    <row r="11" spans="1:8">
      <c r="B11" s="1"/>
    </row>
    <row r="12" spans="1:8" ht="51">
      <c r="A12" s="5" t="s">
        <v>15</v>
      </c>
      <c r="B12" s="3" t="s">
        <v>90</v>
      </c>
      <c r="C12" s="3" t="s">
        <v>91</v>
      </c>
    </row>
    <row r="13" spans="1:8">
      <c r="A13" s="6" t="s">
        <v>16</v>
      </c>
      <c r="B13" s="9">
        <v>61.062854462724736</v>
      </c>
      <c r="C13" s="9">
        <v>77.056178325101243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2.4501874405504318</v>
      </c>
      <c r="C14" s="12">
        <v>3.4245671658594019</v>
      </c>
      <c r="E14" s="40" t="s">
        <v>22</v>
      </c>
      <c r="F14" s="41">
        <v>2.7048720283355528E-2</v>
      </c>
      <c r="G14" s="41">
        <v>2.5042280545734541E-2</v>
      </c>
      <c r="H14" s="41">
        <v>2.0064397376209939E-3</v>
      </c>
    </row>
    <row r="15" spans="1:8">
      <c r="A15" s="4" t="s">
        <v>23</v>
      </c>
      <c r="B15" s="9">
        <v>7.8482038194653727</v>
      </c>
      <c r="C15" s="12">
        <v>8.5396124767365489</v>
      </c>
      <c r="E15" s="40" t="s">
        <v>24</v>
      </c>
      <c r="F15" s="41">
        <v>8.5112113301377079E-2</v>
      </c>
      <c r="G15" s="41">
        <v>0.139625342309186</v>
      </c>
      <c r="H15" s="41">
        <v>-5.451322900780893E-2</v>
      </c>
    </row>
    <row r="16" spans="1:8">
      <c r="A16" s="4" t="s">
        <v>25</v>
      </c>
      <c r="B16" s="9">
        <v>17.2633455440555</v>
      </c>
      <c r="C16" s="12">
        <v>10.974161075527959</v>
      </c>
      <c r="E16" s="40" t="s">
        <v>26</v>
      </c>
      <c r="F16" s="41">
        <v>0.23184422127728299</v>
      </c>
      <c r="G16" s="41">
        <v>0.3309405771424721</v>
      </c>
      <c r="H16" s="41">
        <v>-9.909635586518914E-2</v>
      </c>
    </row>
    <row r="17" spans="1:8">
      <c r="A17" s="4" t="s">
        <v>33</v>
      </c>
      <c r="B17" s="9">
        <v>0</v>
      </c>
      <c r="C17" s="12">
        <v>5.4809567745647053E-3</v>
      </c>
      <c r="E17" s="40" t="s">
        <v>28</v>
      </c>
      <c r="F17" s="41">
        <v>0.67622483587983817</v>
      </c>
      <c r="G17" s="41">
        <v>0.63994806580099284</v>
      </c>
      <c r="H17" s="41">
        <v>3.6276770078845333E-2</v>
      </c>
    </row>
    <row r="18" spans="1:8">
      <c r="A18" s="4" t="s">
        <v>35</v>
      </c>
      <c r="B18" s="12">
        <v>11.37540873320393</v>
      </c>
      <c r="C18" s="12">
        <v>0</v>
      </c>
      <c r="E18" s="40" t="s">
        <v>30</v>
      </c>
      <c r="F18" s="41">
        <v>0.92518675370917947</v>
      </c>
      <c r="G18" s="41">
        <v>0.91732844476447539</v>
      </c>
      <c r="H18" s="41">
        <v>7.8583089447040733E-3</v>
      </c>
    </row>
    <row r="19" spans="1:8">
      <c r="A19" s="4"/>
      <c r="B19" s="12"/>
      <c r="C19" s="12"/>
      <c r="E19" s="40" t="s">
        <v>32</v>
      </c>
      <c r="F19" s="41">
        <v>0.72096421513961473</v>
      </c>
      <c r="G19" s="41">
        <v>1.010661677539094</v>
      </c>
      <c r="H19" s="41">
        <v>-0.28969746239947969</v>
      </c>
    </row>
    <row r="20" spans="1:8">
      <c r="A20" s="4"/>
      <c r="B20" s="12"/>
      <c r="C20" s="12"/>
      <c r="E20" s="40" t="s">
        <v>34</v>
      </c>
      <c r="F20" s="41">
        <v>0.88700813578571802</v>
      </c>
      <c r="G20" s="41">
        <v>0.74682909169586509</v>
      </c>
      <c r="H20" s="41">
        <v>0.14017904408985291</v>
      </c>
    </row>
    <row r="21" spans="1:8">
      <c r="A21" s="4"/>
      <c r="B21" s="12"/>
      <c r="C21" s="12"/>
      <c r="E21" s="40" t="s">
        <v>36</v>
      </c>
      <c r="F21" s="41">
        <v>0.25811208904645461</v>
      </c>
      <c r="G21" s="41">
        <v>0.26550893549968602</v>
      </c>
      <c r="H21" s="41">
        <v>-7.3968464532313538E-3</v>
      </c>
    </row>
    <row r="22" spans="1:8">
      <c r="A22" s="2" t="s">
        <v>37</v>
      </c>
      <c r="B22" s="13">
        <f>SUM(B13:B21)</f>
        <v>99.999999999999957</v>
      </c>
      <c r="C22" s="13">
        <f>SUM(C13:C21)</f>
        <v>99.999999999999716</v>
      </c>
      <c r="E22" s="40" t="s">
        <v>38</v>
      </c>
      <c r="F22" s="41">
        <v>0.23548385916721529</v>
      </c>
      <c r="G22" s="41">
        <v>0.2302791626974616</v>
      </c>
      <c r="H22" s="41">
        <v>5.2046964697536613E-3</v>
      </c>
    </row>
    <row r="23" spans="1:8">
      <c r="A23" s="14"/>
      <c r="B23" s="15"/>
      <c r="C23" s="15"/>
      <c r="E23" s="40" t="s">
        <v>39</v>
      </c>
      <c r="F23" s="41">
        <v>0.11282421537105081</v>
      </c>
      <c r="G23" s="41">
        <v>0.105731679524558</v>
      </c>
      <c r="H23" s="41">
        <v>7.0925358464928451E-3</v>
      </c>
    </row>
    <row r="24" spans="1:8">
      <c r="E24" s="40" t="s">
        <v>40</v>
      </c>
      <c r="F24" s="41">
        <v>-6.0651203424796851E-2</v>
      </c>
      <c r="G24" s="41">
        <v>-5.7598605954605357E-2</v>
      </c>
      <c r="H24" s="41">
        <v>-3.052597470191501E-3</v>
      </c>
    </row>
    <row r="25" spans="1:8" ht="51">
      <c r="A25" s="5" t="s">
        <v>41</v>
      </c>
      <c r="B25" s="3" t="s">
        <v>90</v>
      </c>
      <c r="C25" s="3" t="s">
        <v>91</v>
      </c>
    </row>
    <row r="26" spans="1:8">
      <c r="A26" s="6" t="s">
        <v>42</v>
      </c>
      <c r="B26" s="9">
        <v>6.3123924336426196</v>
      </c>
      <c r="C26" s="9">
        <v>3.3272990850787818</v>
      </c>
    </row>
    <row r="27" spans="1:8">
      <c r="A27" s="4" t="s">
        <v>43</v>
      </c>
      <c r="B27" s="9">
        <v>54.611179960094873</v>
      </c>
      <c r="C27" s="12">
        <v>75.390088863095755</v>
      </c>
    </row>
    <row r="28" spans="1:8">
      <c r="A28" s="4" t="s">
        <v>44</v>
      </c>
      <c r="B28" s="9">
        <v>5.3058546412112202</v>
      </c>
      <c r="C28" s="12">
        <v>8.1615043388864787</v>
      </c>
    </row>
    <row r="29" spans="1:8">
      <c r="A29" s="4" t="s">
        <v>45</v>
      </c>
      <c r="B29" s="9">
        <v>19.396509410645329</v>
      </c>
      <c r="C29" s="12">
        <v>11.24100233040028</v>
      </c>
    </row>
    <row r="30" spans="1:8">
      <c r="A30" s="4" t="s">
        <v>46</v>
      </c>
      <c r="B30" s="9">
        <v>0</v>
      </c>
      <c r="C30" s="12">
        <v>4.5856707982294832E-2</v>
      </c>
    </row>
    <row r="31" spans="1:8">
      <c r="A31" s="4" t="s">
        <v>49</v>
      </c>
      <c r="B31" s="12">
        <v>2.9986548212019928</v>
      </c>
      <c r="C31" s="12">
        <v>1.8342486745561759</v>
      </c>
    </row>
    <row r="32" spans="1:8">
      <c r="A32" s="4" t="s">
        <v>35</v>
      </c>
      <c r="B32" s="12">
        <v>11.37540873320393</v>
      </c>
      <c r="C32" s="12">
        <v>0</v>
      </c>
    </row>
    <row r="33" spans="1:3">
      <c r="A33" s="4"/>
      <c r="B33" s="12"/>
      <c r="C33" s="12"/>
    </row>
    <row r="34" spans="1:3">
      <c r="A34" s="4"/>
      <c r="B34" s="12"/>
      <c r="C34" s="12"/>
    </row>
    <row r="35" spans="1:3">
      <c r="A35" s="2" t="s">
        <v>37</v>
      </c>
      <c r="B35" s="13">
        <f>SUM(B26:B34)</f>
        <v>99.999999999999972</v>
      </c>
      <c r="C35" s="13">
        <f>SUM(C26:C34)</f>
        <v>99.999999999999758</v>
      </c>
    </row>
    <row r="37" spans="1:3" ht="51">
      <c r="A37" s="5" t="s">
        <v>50</v>
      </c>
      <c r="B37" s="3" t="s">
        <v>90</v>
      </c>
      <c r="C37" s="3" t="s">
        <v>91</v>
      </c>
    </row>
    <row r="38" spans="1:3">
      <c r="A38" s="6" t="s">
        <v>51</v>
      </c>
      <c r="B38" s="9">
        <v>58.638403533804293</v>
      </c>
      <c r="C38" s="9">
        <v>76.863201911992391</v>
      </c>
    </row>
    <row r="39" spans="1:3">
      <c r="A39" s="4" t="s">
        <v>52</v>
      </c>
      <c r="B39" s="9">
        <v>2.3651699308633898</v>
      </c>
      <c r="C39" s="12">
        <v>3.3346277765593362</v>
      </c>
    </row>
    <row r="40" spans="1:3">
      <c r="A40" s="4" t="s">
        <v>53</v>
      </c>
      <c r="B40" s="9">
        <v>7.6003339573924276</v>
      </c>
      <c r="C40" s="12">
        <v>8.3295446025962914</v>
      </c>
    </row>
    <row r="41" spans="1:3">
      <c r="A41" s="4" t="s">
        <v>54</v>
      </c>
      <c r="B41" s="9">
        <v>15.74504261427008</v>
      </c>
      <c r="C41" s="12">
        <v>10.22591126377252</v>
      </c>
    </row>
    <row r="42" spans="1:3">
      <c r="A42" s="4" t="s">
        <v>55</v>
      </c>
      <c r="B42" s="9">
        <v>1.1253961511137811</v>
      </c>
      <c r="C42" s="12">
        <v>0.56396773971088421</v>
      </c>
    </row>
    <row r="43" spans="1:3">
      <c r="A43" s="4" t="s">
        <v>58</v>
      </c>
      <c r="B43" s="12">
        <v>3.1502450793520729</v>
      </c>
      <c r="C43" s="12">
        <v>0.68274670536830973</v>
      </c>
    </row>
    <row r="44" spans="1:3">
      <c r="A44" s="4" t="s">
        <v>35</v>
      </c>
      <c r="B44" s="12">
        <v>11.37540873320393</v>
      </c>
      <c r="C44" s="12">
        <v>0</v>
      </c>
    </row>
    <row r="45" spans="1:3">
      <c r="A45" s="4"/>
      <c r="B45" s="12"/>
      <c r="C45" s="12"/>
    </row>
    <row r="46" spans="1:3">
      <c r="A46" s="4"/>
      <c r="B46" s="12"/>
      <c r="C46" s="12"/>
    </row>
    <row r="47" spans="1:3">
      <c r="A47" s="2" t="s">
        <v>37</v>
      </c>
      <c r="B47" s="13">
        <f>SUM(B38:B46)</f>
        <v>99.999999999999957</v>
      </c>
      <c r="C47" s="13">
        <f>SUM(C38:C46)</f>
        <v>99.99999999999973</v>
      </c>
    </row>
    <row r="49" spans="1:35" ht="51.75">
      <c r="Q49" s="16" t="s">
        <v>59</v>
      </c>
      <c r="R49" s="16" t="s">
        <v>90</v>
      </c>
      <c r="S49" s="16" t="s">
        <v>91</v>
      </c>
      <c r="T49" s="17" t="s">
        <v>60</v>
      </c>
      <c r="U49" s="18"/>
      <c r="V49" s="16" t="s">
        <v>59</v>
      </c>
      <c r="W49" s="16" t="s">
        <v>90</v>
      </c>
      <c r="X49" s="16" t="s">
        <v>91</v>
      </c>
      <c r="Y49" s="17" t="s">
        <v>60</v>
      </c>
      <c r="AA49" s="19" t="s">
        <v>61</v>
      </c>
      <c r="AB49" s="16" t="s">
        <v>90</v>
      </c>
      <c r="AC49" s="16" t="s">
        <v>91</v>
      </c>
      <c r="AD49" s="20" t="s">
        <v>60</v>
      </c>
      <c r="AE49" s="21"/>
      <c r="AF49" s="22" t="s">
        <v>62</v>
      </c>
      <c r="AG49" s="16" t="s">
        <v>90</v>
      </c>
      <c r="AH49" s="16" t="s">
        <v>91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26.403686839323225</v>
      </c>
      <c r="C52" s="53">
        <v>38.226075927484217</v>
      </c>
      <c r="D52" s="53">
        <v>-11.822389088160989</v>
      </c>
      <c r="E52" s="53">
        <v>0.92694127419980266</v>
      </c>
      <c r="F52" s="53">
        <v>1.5134499877743617</v>
      </c>
      <c r="G52" s="53">
        <v>-0.58650871357455903</v>
      </c>
      <c r="H52" s="53">
        <v>0.42607824819917484</v>
      </c>
      <c r="I52" s="53">
        <v>-0.21035371359362509</v>
      </c>
      <c r="J52" s="54">
        <v>-0.53838754187035331</v>
      </c>
      <c r="K52" s="54">
        <v>-0.14215416053737831</v>
      </c>
      <c r="L52" s="54">
        <v>-0.39323713936932581</v>
      </c>
      <c r="M52" s="53">
        <v>-0.42399951864547542</v>
      </c>
      <c r="N52" s="53">
        <v>-0.11195150510338922</v>
      </c>
      <c r="O52" s="53">
        <v>-0.17593566436807037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103</v>
      </c>
      <c r="B53" s="56">
        <v>0.51267346087671262</v>
      </c>
      <c r="C53" s="56">
        <v>2.3794483876796342</v>
      </c>
      <c r="D53" s="56">
        <v>-1.8667749268029215</v>
      </c>
      <c r="E53" s="56">
        <v>2.0246037842675597E-2</v>
      </c>
      <c r="F53" s="56">
        <v>6.4907573428024293E-2</v>
      </c>
      <c r="G53" s="56">
        <v>-4.4661535585348695E-2</v>
      </c>
      <c r="H53" s="56">
        <v>1.0229564817661022E-2</v>
      </c>
      <c r="I53" s="56">
        <v>-2.6542689898516336E-2</v>
      </c>
      <c r="J53" s="57">
        <v>5.8986680692181261</v>
      </c>
      <c r="K53" s="57">
        <v>3.0240905736090125E-2</v>
      </c>
      <c r="L53" s="57">
        <v>-0.25109350002165903</v>
      </c>
      <c r="M53" s="56">
        <v>3.7834651810295639</v>
      </c>
      <c r="N53" s="56">
        <v>1.939682188464964E-2</v>
      </c>
      <c r="O53" s="56">
        <v>-4.4587337380031511E-2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5" t="s">
        <v>104</v>
      </c>
      <c r="B54" s="56">
        <v>25.891013378446516</v>
      </c>
      <c r="C54" s="56">
        <v>35.846627539804579</v>
      </c>
      <c r="D54" s="56">
        <v>-9.9556141613580671</v>
      </c>
      <c r="E54" s="56">
        <v>0.90669523635712701</v>
      </c>
      <c r="F54" s="56">
        <v>1.4485424143463375</v>
      </c>
      <c r="G54" s="56">
        <v>-0.54184717798921045</v>
      </c>
      <c r="H54" s="56">
        <v>0.41584868338151382</v>
      </c>
      <c r="I54" s="56">
        <v>-0.18381102369510871</v>
      </c>
      <c r="J54" s="57">
        <v>-0.66584904867795602</v>
      </c>
      <c r="K54" s="57">
        <v>-0.17239506627346843</v>
      </c>
      <c r="L54" s="57">
        <v>-0.14214363934766677</v>
      </c>
      <c r="M54" s="56">
        <v>-0.50731242175859514</v>
      </c>
      <c r="N54" s="56">
        <v>-0.13134832698803886</v>
      </c>
      <c r="O54" s="56">
        <v>-0.13134832698803886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105</v>
      </c>
      <c r="B55" s="59">
        <v>15.106482037376361</v>
      </c>
      <c r="C55" s="59">
        <v>35.846627539804579</v>
      </c>
      <c r="D55" s="59">
        <v>-20.74014550242822</v>
      </c>
      <c r="E55" s="59">
        <v>0.64344552697947299</v>
      </c>
      <c r="F55" s="59">
        <v>1.4485424143463375</v>
      </c>
      <c r="G55" s="59">
        <v>-0.80509688736686447</v>
      </c>
      <c r="H55" s="59">
        <v>0.26332978516970001</v>
      </c>
      <c r="I55" s="59">
        <v>-0.33632992190692251</v>
      </c>
      <c r="J55" s="60">
        <v>0.14144959935860196</v>
      </c>
      <c r="K55" s="60">
        <v>2.1368058319048033E-2</v>
      </c>
      <c r="L55" s="60">
        <v>5.1619485244849689E-2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106</v>
      </c>
      <c r="B56" s="59">
        <v>10.784531341070151</v>
      </c>
      <c r="C56" s="61" t="s">
        <v>14</v>
      </c>
      <c r="D56" s="59">
        <v>10.784531341070151</v>
      </c>
      <c r="E56" s="59">
        <v>0.63679769110943751</v>
      </c>
      <c r="F56" s="59" t="s">
        <v>14</v>
      </c>
      <c r="G56" s="59">
        <v>0.63679769110943751</v>
      </c>
      <c r="H56" s="59">
        <v>0.21383098873045286</v>
      </c>
      <c r="I56" s="59">
        <v>0.21383098873045286</v>
      </c>
      <c r="J56" s="60">
        <v>-1.7918143476765607</v>
      </c>
      <c r="K56" s="60">
        <v>-0.19323877989897034</v>
      </c>
      <c r="L56" s="60">
        <v>-0.19323877989897034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58" t="s">
        <v>107</v>
      </c>
      <c r="B57" s="59">
        <v>0</v>
      </c>
      <c r="C57" s="61" t="s">
        <v>14</v>
      </c>
      <c r="D57" s="59">
        <v>0</v>
      </c>
      <c r="E57" s="59">
        <v>-0.24063024053723442</v>
      </c>
      <c r="F57" s="59" t="s">
        <v>14</v>
      </c>
      <c r="G57" s="59">
        <v>-0.24063024053723442</v>
      </c>
      <c r="H57" s="59">
        <v>-4.3876342925551697E-2</v>
      </c>
      <c r="I57" s="59">
        <v>-4.3876342925551697E-2</v>
      </c>
      <c r="J57" s="60">
        <v>0.12668707334715448</v>
      </c>
      <c r="K57" s="60">
        <v>-3.9402465214986365E-3</v>
      </c>
      <c r="L57" s="60">
        <v>-3.9402465214986365E-3</v>
      </c>
      <c r="M57" s="59" t="s">
        <v>14</v>
      </c>
      <c r="N57" s="59" t="s">
        <v>14</v>
      </c>
      <c r="O57" s="59" t="s">
        <v>14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8" t="s">
        <v>108</v>
      </c>
      <c r="B58" s="59">
        <v>0</v>
      </c>
      <c r="C58" s="61" t="s">
        <v>14</v>
      </c>
      <c r="D58" s="59">
        <v>0</v>
      </c>
      <c r="E58" s="59">
        <v>-0.13291774119454902</v>
      </c>
      <c r="F58" s="59" t="s">
        <v>14</v>
      </c>
      <c r="G58" s="59">
        <v>-0.13291774119454902</v>
      </c>
      <c r="H58" s="59">
        <v>-1.7435747593087341E-2</v>
      </c>
      <c r="I58" s="59">
        <v>-1.7435747593087341E-2</v>
      </c>
      <c r="J58" s="60">
        <v>-0.24120295760334901</v>
      </c>
      <c r="K58" s="60">
        <v>3.4159018279525171E-3</v>
      </c>
      <c r="L58" s="60">
        <v>3.4159018279525171E-3</v>
      </c>
      <c r="M58" s="59">
        <v>9.2747410615007748</v>
      </c>
      <c r="N58" s="59">
        <v>-0.13134832698803886</v>
      </c>
      <c r="O58" s="59">
        <v>-0.13134832698803886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63" t="s">
        <v>112</v>
      </c>
      <c r="B59" s="64">
        <v>42.917897296860907</v>
      </c>
      <c r="C59" s="64">
        <v>35.890946843615076</v>
      </c>
      <c r="D59" s="64">
        <v>7.026950453245834</v>
      </c>
      <c r="E59" s="64">
        <v>1.8001987817895504</v>
      </c>
      <c r="F59" s="64">
        <v>1.7127807619701545</v>
      </c>
      <c r="G59" s="64">
        <v>8.7418019819395898E-2</v>
      </c>
      <c r="H59" s="64">
        <v>1.1696517290927948</v>
      </c>
      <c r="I59" s="64">
        <v>0.16079649061032741</v>
      </c>
      <c r="J59" s="65">
        <v>38.486890212862534</v>
      </c>
      <c r="K59" s="65">
        <v>16.517764014311954</v>
      </c>
      <c r="L59" s="65">
        <v>7.7714658235344665</v>
      </c>
      <c r="M59" s="64">
        <v>4.7888741285555181</v>
      </c>
      <c r="N59" s="64">
        <v>2.0552840801693999</v>
      </c>
      <c r="O59" s="64">
        <v>0.12503948465730241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113</v>
      </c>
      <c r="B60" s="56">
        <v>33.348879941028095</v>
      </c>
      <c r="C60" s="56">
        <v>33.257324308772326</v>
      </c>
      <c r="D60" s="56">
        <v>9.1555632255768682E-2</v>
      </c>
      <c r="E60" s="56">
        <v>1.5717170364630155</v>
      </c>
      <c r="F60" s="56">
        <v>1.5851238922837758</v>
      </c>
      <c r="G60" s="56">
        <v>-1.3406855820760288E-2</v>
      </c>
      <c r="H60" s="56">
        <v>0.95576646068707771</v>
      </c>
      <c r="I60" s="56">
        <v>1.4344545953768773E-2</v>
      </c>
      <c r="J60" s="57">
        <v>20.64156449743086</v>
      </c>
      <c r="K60" s="57">
        <v>6.8837305621980986</v>
      </c>
      <c r="L60" s="57">
        <v>9.529442492802076E-3</v>
      </c>
      <c r="M60" s="56">
        <v>5.4188606300500917</v>
      </c>
      <c r="N60" s="56">
        <v>1.807129325687044</v>
      </c>
      <c r="O60" s="56">
        <v>2.452724878802659E-3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55" t="s">
        <v>115</v>
      </c>
      <c r="B61" s="56">
        <v>5.1505384853933727</v>
      </c>
      <c r="C61" s="56">
        <v>2.0198068479146758</v>
      </c>
      <c r="D61" s="56">
        <v>3.1307316374786973</v>
      </c>
      <c r="E61" s="56">
        <v>0.1616342317217111</v>
      </c>
      <c r="F61" s="56">
        <v>0.11276256980548016</v>
      </c>
      <c r="G61" s="56">
        <v>4.8871661916230935E-2</v>
      </c>
      <c r="H61" s="56">
        <v>0.14646715634650229</v>
      </c>
      <c r="I61" s="56">
        <v>9.0853860622619992E-2</v>
      </c>
      <c r="J61" s="57">
        <v>146.36024115707716</v>
      </c>
      <c r="K61" s="57">
        <v>7.5383405481098071</v>
      </c>
      <c r="L61" s="57">
        <v>6.0265947750875881</v>
      </c>
      <c r="M61" s="56">
        <v>3.4018954067048055</v>
      </c>
      <c r="N61" s="56">
        <v>0.17521593215516038</v>
      </c>
      <c r="O61" s="56">
        <v>6.4337558168639314E-2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55" t="s">
        <v>116</v>
      </c>
      <c r="B62" s="56">
        <v>4.4184788704394338</v>
      </c>
      <c r="C62" s="56">
        <v>0.52434837405356161</v>
      </c>
      <c r="D62" s="56">
        <v>3.8941304963858716</v>
      </c>
      <c r="E62" s="56">
        <v>6.6847513604823855E-2</v>
      </c>
      <c r="F62" s="56">
        <v>1.2183909767690883E-2</v>
      </c>
      <c r="G62" s="56">
        <v>5.4663603837132972E-2</v>
      </c>
      <c r="H62" s="56">
        <v>6.741811205921476E-2</v>
      </c>
      <c r="I62" s="56">
        <v>5.7465079813800522E-2</v>
      </c>
      <c r="J62" s="57">
        <v>47.430189561948104</v>
      </c>
      <c r="K62" s="57">
        <v>2.0956929040040473</v>
      </c>
      <c r="L62" s="57">
        <v>1.7865356917480568</v>
      </c>
      <c r="M62" s="56">
        <v>1.6507677068497932</v>
      </c>
      <c r="N62" s="56">
        <v>7.2938822327195701E-2</v>
      </c>
      <c r="O62" s="56">
        <v>6.0928485952008102E-2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5" t="s">
        <v>117</v>
      </c>
      <c r="B63" s="66" t="s">
        <v>14</v>
      </c>
      <c r="C63" s="56">
        <v>8.9467312874510763E-2</v>
      </c>
      <c r="D63" s="56">
        <v>-8.9467312874510763E-2</v>
      </c>
      <c r="E63" s="56" t="s">
        <v>14</v>
      </c>
      <c r="F63" s="56">
        <v>2.7103901132077258E-3</v>
      </c>
      <c r="G63" s="56">
        <v>-2.7103901132077258E-3</v>
      </c>
      <c r="H63" s="56" t="s">
        <v>14</v>
      </c>
      <c r="I63" s="56">
        <v>-1.8669957798618398E-3</v>
      </c>
      <c r="J63" s="57" t="s">
        <v>14</v>
      </c>
      <c r="K63" s="57" t="s">
        <v>14</v>
      </c>
      <c r="L63" s="57">
        <v>-5.1194085793980139E-2</v>
      </c>
      <c r="M63" s="56" t="s">
        <v>14</v>
      </c>
      <c r="N63" s="56" t="s">
        <v>14</v>
      </c>
      <c r="O63" s="56">
        <v>-2.6792843421474862E-3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63" t="s">
        <v>119</v>
      </c>
      <c r="B64" s="64">
        <v>27.57423817073451</v>
      </c>
      <c r="C64" s="64">
        <v>25.88297722890043</v>
      </c>
      <c r="D64" s="64">
        <v>1.6912609418340829</v>
      </c>
      <c r="E64" s="64">
        <v>1.369722110866606</v>
      </c>
      <c r="F64" s="64">
        <v>1.128065901822719</v>
      </c>
      <c r="G64" s="64">
        <v>0.24165620904388696</v>
      </c>
      <c r="H64" s="64">
        <v>0.79017825553077692</v>
      </c>
      <c r="I64" s="64">
        <v>0.10807982146109141</v>
      </c>
      <c r="J64" s="65">
        <v>97.68325961016609</v>
      </c>
      <c r="K64" s="65">
        <v>26.935414657844113</v>
      </c>
      <c r="L64" s="65">
        <v>4.3333538419208217</v>
      </c>
      <c r="M64" s="64">
        <v>4.8770836101373369</v>
      </c>
      <c r="N64" s="64">
        <v>1.3448186504451263</v>
      </c>
      <c r="O64" s="64">
        <v>0.23427336930522613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5" t="s">
        <v>120</v>
      </c>
      <c r="B65" s="56">
        <v>27.473127162896972</v>
      </c>
      <c r="C65" s="56">
        <v>21.053329889118899</v>
      </c>
      <c r="D65" s="56">
        <v>6.4197972737780713</v>
      </c>
      <c r="E65" s="56">
        <v>1.3681459122970796</v>
      </c>
      <c r="F65" s="56">
        <v>0.94675693115450776</v>
      </c>
      <c r="G65" s="56">
        <v>0.42138898114257184</v>
      </c>
      <c r="H65" s="56">
        <v>0.78871632449438922</v>
      </c>
      <c r="I65" s="56">
        <v>0.21184015710104154</v>
      </c>
      <c r="J65" s="57">
        <v>97.916846843530877</v>
      </c>
      <c r="K65" s="57">
        <v>26.900819847222316</v>
      </c>
      <c r="L65" s="57">
        <v>6.9581264549217003</v>
      </c>
      <c r="M65" s="56">
        <v>4.8893509527262493</v>
      </c>
      <c r="N65" s="56">
        <v>1.3432576046827971</v>
      </c>
      <c r="O65" s="56">
        <v>0.41140473090877372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8" t="s">
        <v>121</v>
      </c>
      <c r="B66" s="59">
        <v>9.4353042307878638</v>
      </c>
      <c r="C66" s="59">
        <v>8.0036816917391498</v>
      </c>
      <c r="D66" s="59">
        <v>1.4316225390487145</v>
      </c>
      <c r="E66" s="59">
        <v>0.395811509749882</v>
      </c>
      <c r="F66" s="59">
        <v>0.35096810866748862</v>
      </c>
      <c r="G66" s="59">
        <v>4.4843401082393375E-2</v>
      </c>
      <c r="H66" s="59">
        <v>0.25027982215178607</v>
      </c>
      <c r="I66" s="59">
        <v>2.8775013683361994E-2</v>
      </c>
      <c r="J66" s="60">
        <v>91.080355933022318</v>
      </c>
      <c r="K66" s="60">
        <v>8.5937086767651021</v>
      </c>
      <c r="L66" s="60">
        <v>0.5563971540727799</v>
      </c>
      <c r="M66" s="59">
        <v>4.1210186231849244</v>
      </c>
      <c r="N66" s="59">
        <v>0.38883064450492288</v>
      </c>
      <c r="O66" s="59">
        <v>4.2665635050891881E-2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58" t="s">
        <v>122</v>
      </c>
      <c r="B67" s="59">
        <v>16.988561436149133</v>
      </c>
      <c r="C67" s="59">
        <v>11.927493293620214</v>
      </c>
      <c r="D67" s="59">
        <v>5.0610681425289181</v>
      </c>
      <c r="E67" s="59">
        <v>0.90842335382057116</v>
      </c>
      <c r="F67" s="59">
        <v>0.54601384182354962</v>
      </c>
      <c r="G67" s="59">
        <v>0.36240951199702154</v>
      </c>
      <c r="H67" s="59">
        <v>0.50782390109335385</v>
      </c>
      <c r="I67" s="59">
        <v>0.18226450486667028</v>
      </c>
      <c r="J67" s="60">
        <v>102.62386236236634</v>
      </c>
      <c r="K67" s="60">
        <v>17.434317905579732</v>
      </c>
      <c r="L67" s="60">
        <v>6.5201868417575941</v>
      </c>
      <c r="M67" s="59">
        <v>5.2490624178113485</v>
      </c>
      <c r="N67" s="59">
        <v>0.89174019367169599</v>
      </c>
      <c r="O67" s="59">
        <v>0.35514335665438401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58" t="s">
        <v>123</v>
      </c>
      <c r="B68" s="59">
        <v>1.0492614959599764</v>
      </c>
      <c r="C68" s="59">
        <v>1.1221549037595382</v>
      </c>
      <c r="D68" s="59">
        <v>-7.2893407799561744E-2</v>
      </c>
      <c r="E68" s="59">
        <v>6.3911048726626646E-2</v>
      </c>
      <c r="F68" s="59">
        <v>4.9774980663469567E-2</v>
      </c>
      <c r="G68" s="59">
        <v>1.4136068063157078E-2</v>
      </c>
      <c r="H68" s="59">
        <v>3.061260124924927E-2</v>
      </c>
      <c r="I68" s="59">
        <v>8.006385510092584E-4</v>
      </c>
      <c r="J68" s="60">
        <v>83.181672846858319</v>
      </c>
      <c r="K68" s="60">
        <v>0.8727932648774791</v>
      </c>
      <c r="L68" s="60">
        <v>-0.11845754090867555</v>
      </c>
      <c r="M68" s="59">
        <v>5.974370235403109</v>
      </c>
      <c r="N68" s="59">
        <v>6.2686766506178215E-2</v>
      </c>
      <c r="O68" s="59">
        <v>1.3595739203497818E-2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55" t="s">
        <v>124</v>
      </c>
      <c r="B69" s="56">
        <v>0.10111100783753983</v>
      </c>
      <c r="C69" s="56">
        <v>4.8296473397815305</v>
      </c>
      <c r="D69" s="56">
        <v>-4.7285363319439906</v>
      </c>
      <c r="E69" s="56">
        <v>1.5761985695264527E-3</v>
      </c>
      <c r="F69" s="56">
        <v>0.18130897066821122</v>
      </c>
      <c r="G69" s="56">
        <v>-0.17973277209868477</v>
      </c>
      <c r="H69" s="56">
        <v>1.4619310363877167E-3</v>
      </c>
      <c r="I69" s="56">
        <v>-0.1037603356399501</v>
      </c>
      <c r="J69" s="57">
        <v>34.214682814143856</v>
      </c>
      <c r="K69" s="57">
        <v>3.4594810621798394E-2</v>
      </c>
      <c r="L69" s="57">
        <v>-2.6247726130008791</v>
      </c>
      <c r="M69" s="56">
        <v>1.5438929902047449</v>
      </c>
      <c r="N69" s="56">
        <v>1.561045762329148E-3</v>
      </c>
      <c r="O69" s="56">
        <v>-0.17713136160354756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63" t="s">
        <v>128</v>
      </c>
      <c r="B70" s="64">
        <v>11.603186896110996</v>
      </c>
      <c r="C70" s="67" t="s">
        <v>14</v>
      </c>
      <c r="D70" s="64">
        <v>11.603186896110996</v>
      </c>
      <c r="E70" s="64">
        <v>2.4095427676622812E-3</v>
      </c>
      <c r="F70" s="64" t="s">
        <v>14</v>
      </c>
      <c r="G70" s="64">
        <v>2.4095427676622812E-3</v>
      </c>
      <c r="H70" s="64">
        <v>9.1876734028962279E-2</v>
      </c>
      <c r="I70" s="64">
        <v>9.1876734028962279E-2</v>
      </c>
      <c r="J70" s="65">
        <v>3.0594057912136301E-2</v>
      </c>
      <c r="K70" s="65">
        <v>3.5498857186496086E-3</v>
      </c>
      <c r="L70" s="65">
        <v>3.5498857186496086E-3</v>
      </c>
      <c r="M70" s="64">
        <v>9.8036934465104515E-4</v>
      </c>
      <c r="N70" s="64">
        <v>1.1375408733203933E-4</v>
      </c>
      <c r="O70" s="64">
        <v>1.1375408733203933E-4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3" t="s">
        <v>129</v>
      </c>
      <c r="B71" s="64">
        <v>-8.4990092030296669</v>
      </c>
      <c r="C71" s="67" t="s">
        <v>14</v>
      </c>
      <c r="D71" s="64">
        <v>-8.4990092030296669</v>
      </c>
      <c r="E71" s="64">
        <v>-8.499009203029667E-5</v>
      </c>
      <c r="F71" s="64" t="s">
        <v>14</v>
      </c>
      <c r="G71" s="64">
        <v>-8.499009203029667E-5</v>
      </c>
      <c r="H71" s="64">
        <v>-6.7047833701780732E-2</v>
      </c>
      <c r="I71" s="64">
        <v>-6.7047833701780732E-2</v>
      </c>
      <c r="J71" s="65">
        <v>1E-3</v>
      </c>
      <c r="K71" s="65">
        <v>-8.499009203029667E-5</v>
      </c>
      <c r="L71" s="65">
        <v>-8.499009203029667E-5</v>
      </c>
      <c r="M71" s="64">
        <v>1E-3</v>
      </c>
      <c r="N71" s="64">
        <v>-8.499009203029667E-5</v>
      </c>
      <c r="O71" s="64">
        <v>-8.499009203029667E-5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8" t="s">
        <v>37</v>
      </c>
      <c r="B72" s="69">
        <v>99.999999999999972</v>
      </c>
      <c r="C72" s="69">
        <v>99.999999999999716</v>
      </c>
      <c r="D72" s="69">
        <v>2.6645352591003757E-13</v>
      </c>
      <c r="E72" s="69">
        <v>4.0991867195315912</v>
      </c>
      <c r="F72" s="69">
        <v>4.3542966515672354</v>
      </c>
      <c r="G72" s="69">
        <v>-0.25510993203564425</v>
      </c>
      <c r="H72" s="69">
        <v>2.4107371331499281</v>
      </c>
      <c r="I72" s="69">
        <v>8.3351498804975055E-2</v>
      </c>
      <c r="J72" s="70">
        <v>43.314489407245311</v>
      </c>
      <c r="K72" s="70">
        <v>43.314489407245311</v>
      </c>
      <c r="L72" s="70">
        <v>11.715047421712583</v>
      </c>
      <c r="M72" s="69">
        <v>3.288179989506439</v>
      </c>
      <c r="N72" s="69">
        <v>3.2881799895064385</v>
      </c>
      <c r="O72" s="69">
        <v>0.18340595358976008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00"/>
  <sheetViews>
    <sheetView showGridLines="0" zoomScale="85" zoomScaleNormal="85" zoomScalePageLayoutView="157" workbookViewId="0"/>
  </sheetViews>
  <sheetFormatPr defaultColWidth="11.42578125" defaultRowHeight="12.75"/>
  <cols>
    <col min="1" max="1" width="29.7109375" bestFit="1" customWidth="1"/>
    <col min="2" max="2" width="13.85546875" customWidth="1"/>
    <col min="3" max="3" width="13.85546875" style="1" customWidth="1"/>
    <col min="4" max="4" width="13.85546875" customWidth="1"/>
    <col min="5" max="15" width="13.7109375" customWidth="1"/>
    <col min="16" max="16" width="3.5703125" customWidth="1"/>
    <col min="17" max="17" width="21.7109375" customWidth="1"/>
    <col min="18" max="19" width="13.7109375" customWidth="1"/>
    <col min="20" max="20" width="13.28515625" customWidth="1"/>
    <col min="21" max="21" width="3.5703125" customWidth="1"/>
    <col min="22" max="22" width="21.7109375" customWidth="1"/>
    <col min="23" max="24" width="13.7109375" customWidth="1"/>
    <col min="25" max="25" width="13.28515625" customWidth="1"/>
    <col min="26" max="26" width="3.5703125" customWidth="1"/>
    <col min="27" max="27" width="23.5703125" bestFit="1" customWidth="1"/>
    <col min="28" max="30" width="13.7109375" customWidth="1"/>
    <col min="31" max="31" width="3.5703125" customWidth="1"/>
    <col min="32" max="32" width="23.5703125" bestFit="1" customWidth="1"/>
    <col min="33" max="49" width="13.7109375" customWidth="1"/>
  </cols>
  <sheetData>
    <row r="1" spans="1:8" ht="25.5">
      <c r="A1" s="2" t="s">
        <v>0</v>
      </c>
      <c r="B1" s="3" t="s">
        <v>92</v>
      </c>
      <c r="C1" s="3" t="s">
        <v>82</v>
      </c>
    </row>
    <row r="2" spans="1:8">
      <c r="A2" s="4" t="s">
        <v>3</v>
      </c>
      <c r="B2" s="9">
        <v>3.7182307739904692</v>
      </c>
      <c r="C2" s="9">
        <v>3.7185626141146311</v>
      </c>
    </row>
    <row r="3" spans="1:8">
      <c r="A3" s="4" t="s">
        <v>4</v>
      </c>
      <c r="B3" s="10">
        <v>306.00598330956637</v>
      </c>
      <c r="C3" s="10">
        <v>361.2453924385436</v>
      </c>
    </row>
    <row r="4" spans="1:8">
      <c r="A4" s="4" t="s">
        <v>5</v>
      </c>
      <c r="B4" s="9">
        <v>5.2143757875374206</v>
      </c>
      <c r="C4" s="9">
        <v>4.8751232024928699</v>
      </c>
    </row>
    <row r="5" spans="1:8">
      <c r="A5" s="4" t="s">
        <v>6</v>
      </c>
      <c r="B5" s="9">
        <v>5.7751077082438487</v>
      </c>
      <c r="C5" s="9">
        <v>5.3955197669264336</v>
      </c>
    </row>
    <row r="6" spans="1:8">
      <c r="A6" s="4" t="s">
        <v>7</v>
      </c>
      <c r="B6" s="9">
        <v>4.2654584668031132</v>
      </c>
      <c r="C6" s="9">
        <v>5.4156737747176242</v>
      </c>
    </row>
    <row r="7" spans="1:8">
      <c r="A7" s="4" t="s">
        <v>8</v>
      </c>
      <c r="B7" s="9">
        <v>4.1364946935240443</v>
      </c>
      <c r="C7" s="9">
        <v>5.2780187247048396</v>
      </c>
    </row>
    <row r="8" spans="1:8">
      <c r="A8" s="4" t="s">
        <v>9</v>
      </c>
      <c r="B8" s="9">
        <v>4.3771085889153536</v>
      </c>
      <c r="C8" s="9">
        <v>5.7103880391338766</v>
      </c>
    </row>
    <row r="9" spans="1:8">
      <c r="A9" s="4" t="s">
        <v>10</v>
      </c>
      <c r="B9" s="9" t="s">
        <v>93</v>
      </c>
      <c r="C9" s="9" t="s">
        <v>84</v>
      </c>
    </row>
    <row r="10" spans="1:8">
      <c r="A10" s="4" t="s">
        <v>13</v>
      </c>
      <c r="B10" s="39">
        <v>1129310387.98368</v>
      </c>
      <c r="C10" s="7" t="s">
        <v>14</v>
      </c>
    </row>
    <row r="11" spans="1:8">
      <c r="B11" s="1"/>
    </row>
    <row r="12" spans="1:8" ht="25.5">
      <c r="A12" s="5" t="s">
        <v>15</v>
      </c>
      <c r="B12" s="3" t="s">
        <v>92</v>
      </c>
      <c r="C12" s="3" t="s">
        <v>82</v>
      </c>
    </row>
    <row r="13" spans="1:8">
      <c r="A13" s="6" t="s">
        <v>16</v>
      </c>
      <c r="B13" s="9">
        <v>9.6882176981379207</v>
      </c>
      <c r="C13" s="9">
        <v>0</v>
      </c>
      <c r="E13" s="11" t="s">
        <v>17</v>
      </c>
      <c r="F13" s="3" t="s">
        <v>18</v>
      </c>
      <c r="G13" s="3" t="s">
        <v>19</v>
      </c>
      <c r="H13" s="3" t="s">
        <v>20</v>
      </c>
    </row>
    <row r="14" spans="1:8">
      <c r="A14" s="4" t="s">
        <v>21</v>
      </c>
      <c r="B14" s="9">
        <v>0.83111109485176848</v>
      </c>
      <c r="C14" s="12">
        <v>0.75184620378887612</v>
      </c>
      <c r="E14" s="40" t="s">
        <v>22</v>
      </c>
      <c r="F14" s="41">
        <v>7.2655414851211755E-2</v>
      </c>
      <c r="G14" s="41">
        <v>6.6870230194634728E-2</v>
      </c>
      <c r="H14" s="41">
        <v>5.7851846565770276E-3</v>
      </c>
    </row>
    <row r="15" spans="1:8">
      <c r="A15" s="4" t="s">
        <v>23</v>
      </c>
      <c r="B15" s="9">
        <v>1.859856790495797</v>
      </c>
      <c r="C15" s="12">
        <v>3.706338906135537</v>
      </c>
      <c r="E15" s="40" t="s">
        <v>24</v>
      </c>
      <c r="F15" s="41">
        <v>7.7531082479190411E-2</v>
      </c>
      <c r="G15" s="41">
        <v>5.8253008282101719E-2</v>
      </c>
      <c r="H15" s="41">
        <v>1.9278074197088661E-2</v>
      </c>
    </row>
    <row r="16" spans="1:8">
      <c r="A16" s="4" t="s">
        <v>25</v>
      </c>
      <c r="B16" s="9">
        <v>18.074997039091361</v>
      </c>
      <c r="C16" s="12">
        <v>14.850203174379679</v>
      </c>
      <c r="E16" s="40" t="s">
        <v>26</v>
      </c>
      <c r="F16" s="41">
        <v>0.12631699661755519</v>
      </c>
      <c r="G16" s="41">
        <v>0.14611042416250891</v>
      </c>
      <c r="H16" s="41">
        <v>-1.9793427544953751E-2</v>
      </c>
    </row>
    <row r="17" spans="1:8">
      <c r="A17" s="4" t="s">
        <v>27</v>
      </c>
      <c r="B17" s="9">
        <v>30.9202064278278</v>
      </c>
      <c r="C17" s="12">
        <v>33.79318494745764</v>
      </c>
      <c r="E17" s="40" t="s">
        <v>28</v>
      </c>
      <c r="F17" s="41">
        <v>0.37813485325831492</v>
      </c>
      <c r="G17" s="41">
        <v>0.37338938626910528</v>
      </c>
      <c r="H17" s="41">
        <v>4.7454669892095791E-3</v>
      </c>
    </row>
    <row r="18" spans="1:8">
      <c r="A18" s="4" t="s">
        <v>29</v>
      </c>
      <c r="B18" s="12">
        <v>28.780907267976541</v>
      </c>
      <c r="C18" s="12">
        <v>36.403395284865553</v>
      </c>
      <c r="E18" s="40" t="s">
        <v>30</v>
      </c>
      <c r="F18" s="41">
        <v>0.5713480292632529</v>
      </c>
      <c r="G18" s="41">
        <v>0.65810188710539586</v>
      </c>
      <c r="H18" s="41">
        <v>-8.6753857842142845E-2</v>
      </c>
    </row>
    <row r="19" spans="1:8">
      <c r="A19" s="4" t="s">
        <v>31</v>
      </c>
      <c r="B19" s="12">
        <v>9.0830416702524204</v>
      </c>
      <c r="C19" s="12">
        <v>9.3450103501852304</v>
      </c>
      <c r="E19" s="40" t="s">
        <v>32</v>
      </c>
      <c r="F19" s="41">
        <v>0.79070949988010952</v>
      </c>
      <c r="G19" s="41">
        <v>0.82561046362382196</v>
      </c>
      <c r="H19" s="41">
        <v>-3.4900963743712543E-2</v>
      </c>
    </row>
    <row r="20" spans="1:8">
      <c r="A20" s="4" t="s">
        <v>33</v>
      </c>
      <c r="B20" s="12">
        <v>0.27546356409584372</v>
      </c>
      <c r="C20" s="12">
        <v>1.1500211331874519</v>
      </c>
      <c r="E20" s="40" t="s">
        <v>34</v>
      </c>
      <c r="F20" s="41">
        <v>0.64577949936236911</v>
      </c>
      <c r="G20" s="41">
        <v>0.56538788463543876</v>
      </c>
      <c r="H20" s="41">
        <v>8.0391614726930238E-2</v>
      </c>
    </row>
    <row r="21" spans="1:8">
      <c r="A21" s="4" t="s">
        <v>35</v>
      </c>
      <c r="B21" s="12">
        <v>0.48619844727054451</v>
      </c>
      <c r="C21" s="12">
        <v>0</v>
      </c>
      <c r="E21" s="40" t="s">
        <v>36</v>
      </c>
      <c r="F21" s="41">
        <v>0.1313686676342696</v>
      </c>
      <c r="G21" s="41">
        <v>0.23688880714513841</v>
      </c>
      <c r="H21" s="41">
        <v>-0.1055201395108688</v>
      </c>
    </row>
    <row r="22" spans="1:8">
      <c r="A22" s="2" t="s">
        <v>37</v>
      </c>
      <c r="B22" s="13">
        <f>SUM(B13:B21)</f>
        <v>100</v>
      </c>
      <c r="C22" s="13">
        <f>SUM(C13:C21)</f>
        <v>99.999999999999972</v>
      </c>
      <c r="E22" s="40" t="s">
        <v>38</v>
      </c>
      <c r="F22" s="41">
        <v>0.36162272091297348</v>
      </c>
      <c r="G22" s="41">
        <v>0.2344969473592636</v>
      </c>
      <c r="H22" s="41">
        <v>0.12712577355370999</v>
      </c>
    </row>
    <row r="23" spans="1:8">
      <c r="A23" s="14"/>
      <c r="B23" s="15"/>
      <c r="C23" s="15"/>
      <c r="E23" s="40" t="s">
        <v>39</v>
      </c>
      <c r="F23" s="41">
        <v>0.58373851329299353</v>
      </c>
      <c r="G23" s="41">
        <v>0.30603824374111233</v>
      </c>
      <c r="H23" s="41">
        <v>0.27770026955188132</v>
      </c>
    </row>
    <row r="24" spans="1:8">
      <c r="E24" s="40" t="s">
        <v>40</v>
      </c>
      <c r="F24" s="41">
        <v>-2.0966578668040178E-2</v>
      </c>
      <c r="G24" s="41">
        <v>0.23442041457242091</v>
      </c>
      <c r="H24" s="41">
        <v>-0.2553869932404611</v>
      </c>
    </row>
    <row r="25" spans="1:8" ht="25.5">
      <c r="A25" s="5" t="s">
        <v>41</v>
      </c>
      <c r="B25" s="3" t="s">
        <v>92</v>
      </c>
      <c r="C25" s="3" t="s">
        <v>82</v>
      </c>
    </row>
    <row r="26" spans="1:8">
      <c r="A26" s="6" t="s">
        <v>42</v>
      </c>
      <c r="B26" s="9">
        <v>0.59451401740584719</v>
      </c>
      <c r="C26" s="9">
        <v>0</v>
      </c>
    </row>
    <row r="27" spans="1:8">
      <c r="A27" s="4" t="s">
        <v>43</v>
      </c>
      <c r="B27" s="9">
        <v>9.9248147755838421</v>
      </c>
      <c r="C27" s="12">
        <v>0.76325384377910144</v>
      </c>
    </row>
    <row r="28" spans="1:8">
      <c r="A28" s="4" t="s">
        <v>44</v>
      </c>
      <c r="B28" s="9">
        <v>2.440257262473946</v>
      </c>
      <c r="C28" s="12">
        <v>2.752933872750249</v>
      </c>
    </row>
    <row r="29" spans="1:8">
      <c r="A29" s="4" t="s">
        <v>45</v>
      </c>
      <c r="B29" s="9">
        <v>18.094663014102132</v>
      </c>
      <c r="C29" s="12">
        <v>16.333574967181711</v>
      </c>
    </row>
    <row r="30" spans="1:8">
      <c r="A30" s="4" t="s">
        <v>46</v>
      </c>
      <c r="B30" s="9">
        <v>29.893994569555751</v>
      </c>
      <c r="C30" s="12">
        <v>34.992319382235472</v>
      </c>
    </row>
    <row r="31" spans="1:8">
      <c r="A31" s="4" t="s">
        <v>47</v>
      </c>
      <c r="B31" s="12">
        <v>22.822551002452879</v>
      </c>
      <c r="C31" s="12">
        <v>33.267075226741802</v>
      </c>
    </row>
    <row r="32" spans="1:8">
      <c r="A32" s="4" t="s">
        <v>48</v>
      </c>
      <c r="B32" s="12">
        <v>9.3271035618702651</v>
      </c>
      <c r="C32" s="12">
        <v>6.3552387342142342</v>
      </c>
    </row>
    <row r="33" spans="1:3">
      <c r="A33" s="4" t="s">
        <v>49</v>
      </c>
      <c r="B33" s="12">
        <v>6.4159033492848021</v>
      </c>
      <c r="C33" s="12">
        <v>5.5356039730973858</v>
      </c>
    </row>
    <row r="34" spans="1:3">
      <c r="A34" s="4" t="s">
        <v>35</v>
      </c>
      <c r="B34" s="12">
        <v>0.48619844727054451</v>
      </c>
      <c r="C34" s="12">
        <v>0</v>
      </c>
    </row>
    <row r="35" spans="1:3">
      <c r="A35" s="2" t="s">
        <v>37</v>
      </c>
      <c r="B35" s="13">
        <f>SUM(B26:B34)</f>
        <v>100</v>
      </c>
      <c r="C35" s="13">
        <f>SUM(C26:C34)</f>
        <v>99.999999999999957</v>
      </c>
    </row>
    <row r="37" spans="1:3" ht="25.5">
      <c r="A37" s="5" t="s">
        <v>50</v>
      </c>
      <c r="B37" s="3" t="s">
        <v>92</v>
      </c>
      <c r="C37" s="3" t="s">
        <v>82</v>
      </c>
    </row>
    <row r="38" spans="1:3">
      <c r="A38" s="6" t="s">
        <v>51</v>
      </c>
      <c r="B38" s="9">
        <v>9.6882176981379207</v>
      </c>
      <c r="C38" s="9">
        <v>0</v>
      </c>
    </row>
    <row r="39" spans="1:3">
      <c r="A39" s="4" t="s">
        <v>52</v>
      </c>
      <c r="B39" s="9">
        <v>1.2138824393422281</v>
      </c>
      <c r="C39" s="12">
        <v>1.276607627470159</v>
      </c>
    </row>
    <row r="40" spans="1:3">
      <c r="A40" s="4" t="s">
        <v>53</v>
      </c>
      <c r="B40" s="9">
        <v>1.521344904072945</v>
      </c>
      <c r="C40" s="12">
        <v>4.5679035432287858</v>
      </c>
    </row>
    <row r="41" spans="1:3">
      <c r="A41" s="4" t="s">
        <v>54</v>
      </c>
      <c r="B41" s="9">
        <v>16.22917188449691</v>
      </c>
      <c r="C41" s="12">
        <v>11.99445210216934</v>
      </c>
    </row>
    <row r="42" spans="1:3">
      <c r="A42" s="4" t="s">
        <v>55</v>
      </c>
      <c r="B42" s="9">
        <v>30.48854730381543</v>
      </c>
      <c r="C42" s="12">
        <v>28.93489219374289</v>
      </c>
    </row>
    <row r="43" spans="1:3">
      <c r="A43" s="4" t="s">
        <v>56</v>
      </c>
      <c r="B43" s="12">
        <v>29.595008256484721</v>
      </c>
      <c r="C43" s="12">
        <v>32.367733424219217</v>
      </c>
    </row>
    <row r="44" spans="1:3">
      <c r="A44" s="4" t="s">
        <v>57</v>
      </c>
      <c r="B44" s="12">
        <v>3.4151966695949412</v>
      </c>
      <c r="C44" s="12">
        <v>9.7135535963234148</v>
      </c>
    </row>
    <row r="45" spans="1:3">
      <c r="A45" s="4" t="s">
        <v>58</v>
      </c>
      <c r="B45" s="12">
        <v>7.3624323967843619</v>
      </c>
      <c r="C45" s="12">
        <v>11.1448575128461</v>
      </c>
    </row>
    <row r="46" spans="1:3">
      <c r="A46" s="4" t="s">
        <v>35</v>
      </c>
      <c r="B46" s="12">
        <v>0.48619844727054451</v>
      </c>
      <c r="C46" s="12">
        <v>0</v>
      </c>
    </row>
    <row r="47" spans="1:3">
      <c r="A47" s="2" t="s">
        <v>37</v>
      </c>
      <c r="B47" s="13">
        <f>SUM(B38:B46)</f>
        <v>100</v>
      </c>
      <c r="C47" s="13">
        <f>SUM(C38:C46)</f>
        <v>99.999999999999915</v>
      </c>
    </row>
    <row r="49" spans="1:35" ht="26.25">
      <c r="Q49" s="16" t="s">
        <v>59</v>
      </c>
      <c r="R49" s="16" t="s">
        <v>92</v>
      </c>
      <c r="S49" s="16" t="s">
        <v>82</v>
      </c>
      <c r="T49" s="17" t="s">
        <v>60</v>
      </c>
      <c r="U49" s="18"/>
      <c r="V49" s="16" t="s">
        <v>59</v>
      </c>
      <c r="W49" s="16" t="s">
        <v>92</v>
      </c>
      <c r="X49" s="16" t="s">
        <v>82</v>
      </c>
      <c r="Y49" s="17" t="s">
        <v>60</v>
      </c>
      <c r="AA49" s="19" t="s">
        <v>61</v>
      </c>
      <c r="AB49" s="16" t="s">
        <v>92</v>
      </c>
      <c r="AC49" s="16" t="s">
        <v>82</v>
      </c>
      <c r="AD49" s="20" t="s">
        <v>60</v>
      </c>
      <c r="AE49" s="21"/>
      <c r="AF49" s="22" t="s">
        <v>62</v>
      </c>
      <c r="AG49" s="16" t="s">
        <v>92</v>
      </c>
      <c r="AH49" s="16" t="s">
        <v>82</v>
      </c>
      <c r="AI49" s="20" t="s">
        <v>60</v>
      </c>
    </row>
    <row r="50" spans="1:35" s="8" customFormat="1" ht="13.5" customHeight="1">
      <c r="A50" s="43"/>
      <c r="B50" s="44" t="s">
        <v>94</v>
      </c>
      <c r="C50" s="44"/>
      <c r="D50" s="44"/>
      <c r="E50" s="44" t="s">
        <v>95</v>
      </c>
      <c r="F50" s="44"/>
      <c r="G50" s="44"/>
      <c r="H50" s="44" t="s">
        <v>96</v>
      </c>
      <c r="I50" s="44"/>
      <c r="J50" s="45" t="s">
        <v>97</v>
      </c>
      <c r="K50" s="46" t="s">
        <v>98</v>
      </c>
      <c r="L50" s="46"/>
      <c r="M50" s="47" t="s">
        <v>99</v>
      </c>
      <c r="N50" s="44" t="s">
        <v>100</v>
      </c>
      <c r="O50" s="44"/>
      <c r="Q50" s="23"/>
      <c r="R50" s="24"/>
      <c r="S50" s="24"/>
      <c r="T50" s="24"/>
      <c r="U50" s="25"/>
      <c r="V50" s="23"/>
      <c r="W50" s="24"/>
      <c r="X50" s="24"/>
      <c r="Y50" s="24"/>
      <c r="AA50" s="26"/>
      <c r="AB50" s="28"/>
      <c r="AC50" s="28"/>
      <c r="AD50" s="28"/>
      <c r="AE50" s="26"/>
      <c r="AF50" s="27"/>
      <c r="AG50" s="28"/>
      <c r="AH50" s="28"/>
      <c r="AI50" s="28"/>
    </row>
    <row r="51" spans="1:35" ht="13.5" customHeight="1">
      <c r="A51" s="48" t="s">
        <v>101</v>
      </c>
      <c r="B51" s="48" t="s">
        <v>18</v>
      </c>
      <c r="C51" s="48" t="s">
        <v>19</v>
      </c>
      <c r="D51" s="48" t="s">
        <v>20</v>
      </c>
      <c r="E51" s="48" t="s">
        <v>18</v>
      </c>
      <c r="F51" s="48" t="s">
        <v>19</v>
      </c>
      <c r="G51" s="48" t="s">
        <v>20</v>
      </c>
      <c r="H51" s="48" t="s">
        <v>18</v>
      </c>
      <c r="I51" s="48" t="s">
        <v>20</v>
      </c>
      <c r="J51" s="49"/>
      <c r="K51" s="50" t="s">
        <v>18</v>
      </c>
      <c r="L51" s="50" t="s">
        <v>20</v>
      </c>
      <c r="M51" s="51"/>
      <c r="N51" s="48" t="s">
        <v>18</v>
      </c>
      <c r="O51" s="48" t="s">
        <v>20</v>
      </c>
      <c r="Q51" s="23"/>
      <c r="R51" s="24"/>
      <c r="S51" s="24"/>
      <c r="T51" s="24"/>
      <c r="U51" s="25"/>
      <c r="V51" s="23"/>
      <c r="W51" s="24"/>
      <c r="X51" s="24"/>
      <c r="Y51" s="24"/>
      <c r="AA51" s="26"/>
      <c r="AB51" s="28"/>
      <c r="AC51" s="28"/>
      <c r="AD51" s="28"/>
      <c r="AE51" s="26"/>
      <c r="AF51" s="27"/>
      <c r="AG51" s="28"/>
      <c r="AH51" s="28"/>
      <c r="AI51" s="28"/>
    </row>
    <row r="52" spans="1:35" ht="13.5" customHeight="1">
      <c r="A52" s="52" t="s">
        <v>102</v>
      </c>
      <c r="B52" s="53">
        <v>3.4233849774747438</v>
      </c>
      <c r="C52" s="72" t="s">
        <v>14</v>
      </c>
      <c r="D52" s="53">
        <v>3.4233849774747438</v>
      </c>
      <c r="E52" s="53">
        <v>0.69781747698136132</v>
      </c>
      <c r="F52" s="53" t="s">
        <v>14</v>
      </c>
      <c r="G52" s="53">
        <v>0.69781747698136132</v>
      </c>
      <c r="H52" s="53">
        <v>0.13243650250201311</v>
      </c>
      <c r="I52" s="53">
        <v>0.13243650250201311</v>
      </c>
      <c r="J52" s="54">
        <v>1.5719378854215404</v>
      </c>
      <c r="K52" s="54">
        <v>5.3813485424755177E-2</v>
      </c>
      <c r="L52" s="54">
        <v>5.3813485424755177E-2</v>
      </c>
      <c r="M52" s="53" t="s">
        <v>14</v>
      </c>
      <c r="N52" s="53" t="s">
        <v>14</v>
      </c>
      <c r="O52" s="53" t="s">
        <v>14</v>
      </c>
      <c r="Q52" s="23"/>
      <c r="R52" s="24"/>
      <c r="S52" s="24"/>
      <c r="T52" s="24"/>
      <c r="U52" s="25"/>
      <c r="V52" s="23"/>
      <c r="W52" s="24"/>
      <c r="X52" s="24"/>
      <c r="Y52" s="24"/>
      <c r="AA52" s="26"/>
      <c r="AB52" s="28"/>
      <c r="AC52" s="28"/>
      <c r="AD52" s="28"/>
      <c r="AE52" s="26"/>
      <c r="AF52" s="27"/>
      <c r="AG52" s="28"/>
      <c r="AH52" s="28"/>
      <c r="AI52" s="28"/>
    </row>
    <row r="53" spans="1:35" ht="13.5" customHeight="1">
      <c r="A53" s="55" t="s">
        <v>104</v>
      </c>
      <c r="B53" s="56">
        <v>3.4233849774747438</v>
      </c>
      <c r="C53" s="62" t="s">
        <v>14</v>
      </c>
      <c r="D53" s="56">
        <v>3.4233849774747438</v>
      </c>
      <c r="E53" s="56">
        <v>0.69781747698136132</v>
      </c>
      <c r="F53" s="56" t="s">
        <v>14</v>
      </c>
      <c r="G53" s="56">
        <v>0.69781747698136132</v>
      </c>
      <c r="H53" s="56">
        <v>0.13243650250201311</v>
      </c>
      <c r="I53" s="56">
        <v>0.13243650250201311</v>
      </c>
      <c r="J53" s="57">
        <v>1.5719378854215404</v>
      </c>
      <c r="K53" s="57">
        <v>5.3813485424755177E-2</v>
      </c>
      <c r="L53" s="57">
        <v>5.3813485424755177E-2</v>
      </c>
      <c r="M53" s="56" t="s">
        <v>14</v>
      </c>
      <c r="N53" s="56" t="s">
        <v>14</v>
      </c>
      <c r="O53" s="56" t="s">
        <v>14</v>
      </c>
      <c r="Q53" s="29"/>
      <c r="R53" s="30"/>
      <c r="S53" s="30"/>
      <c r="T53" s="30"/>
      <c r="U53" s="25"/>
      <c r="V53" s="29"/>
      <c r="W53" s="30"/>
      <c r="X53" s="30"/>
      <c r="Y53" s="30"/>
      <c r="AA53" s="26"/>
      <c r="AB53" s="28"/>
      <c r="AC53" s="28"/>
      <c r="AD53" s="28"/>
      <c r="AE53" s="26"/>
      <c r="AF53" s="27"/>
      <c r="AG53" s="28"/>
      <c r="AH53" s="28"/>
      <c r="AI53" s="28"/>
    </row>
    <row r="54" spans="1:35" ht="13.5" customHeight="1">
      <c r="A54" s="58" t="s">
        <v>105</v>
      </c>
      <c r="B54" s="59">
        <v>1.3933821214518385</v>
      </c>
      <c r="C54" s="61" t="s">
        <v>14</v>
      </c>
      <c r="D54" s="59">
        <v>1.3933821214518385</v>
      </c>
      <c r="E54" s="59">
        <v>9.9098156846760266E-2</v>
      </c>
      <c r="F54" s="59" t="s">
        <v>14</v>
      </c>
      <c r="G54" s="59">
        <v>9.9098156846760266E-2</v>
      </c>
      <c r="H54" s="59">
        <v>3.1144135425116827E-2</v>
      </c>
      <c r="I54" s="59">
        <v>3.1144135425116827E-2</v>
      </c>
      <c r="J54" s="60">
        <v>0.62091398064504388</v>
      </c>
      <c r="K54" s="60">
        <v>8.6517043959029715E-3</v>
      </c>
      <c r="L54" s="60">
        <v>8.6517043959029715E-3</v>
      </c>
      <c r="M54" s="59" t="s">
        <v>14</v>
      </c>
      <c r="N54" s="59" t="s">
        <v>14</v>
      </c>
      <c r="O54" s="59" t="s">
        <v>14</v>
      </c>
      <c r="Q54" s="23"/>
      <c r="R54" s="24"/>
      <c r="S54" s="24"/>
      <c r="T54" s="24"/>
      <c r="U54" s="25"/>
      <c r="V54" s="23"/>
      <c r="W54" s="24"/>
      <c r="X54" s="24"/>
      <c r="Y54" s="24"/>
      <c r="AA54" s="31"/>
      <c r="AB54" s="33"/>
      <c r="AC54" s="33"/>
      <c r="AD54" s="33"/>
      <c r="AE54" s="26"/>
      <c r="AF54" s="32"/>
      <c r="AG54" s="33"/>
      <c r="AH54" s="33"/>
      <c r="AI54" s="33"/>
    </row>
    <row r="55" spans="1:35" ht="13.5" customHeight="1">
      <c r="A55" s="58" t="s">
        <v>106</v>
      </c>
      <c r="B55" s="59">
        <v>2.0300028560229051</v>
      </c>
      <c r="C55" s="61" t="s">
        <v>14</v>
      </c>
      <c r="D55" s="59">
        <v>2.0300028560229051</v>
      </c>
      <c r="E55" s="59">
        <v>0.48483082700791424</v>
      </c>
      <c r="F55" s="59" t="s">
        <v>14</v>
      </c>
      <c r="G55" s="59">
        <v>0.48483082700791424</v>
      </c>
      <c r="H55" s="59">
        <v>6.1864519183908069E-2</v>
      </c>
      <c r="I55" s="59">
        <v>6.1864519183908069E-2</v>
      </c>
      <c r="J55" s="60">
        <v>2.0577922817497698</v>
      </c>
      <c r="K55" s="60">
        <v>4.1773242090539238E-2</v>
      </c>
      <c r="L55" s="60">
        <v>4.1773242090539238E-2</v>
      </c>
      <c r="M55" s="59" t="s">
        <v>14</v>
      </c>
      <c r="N55" s="59" t="s">
        <v>14</v>
      </c>
      <c r="O55" s="59" t="s">
        <v>14</v>
      </c>
      <c r="Q55" s="23"/>
      <c r="R55" s="24"/>
      <c r="S55" s="24"/>
      <c r="T55" s="24"/>
      <c r="U55" s="25"/>
      <c r="V55" s="23"/>
      <c r="W55" s="24"/>
      <c r="X55" s="24"/>
      <c r="Y55" s="24"/>
      <c r="AA55" s="26"/>
      <c r="AB55" s="28"/>
      <c r="AC55" s="28"/>
      <c r="AD55" s="28"/>
      <c r="AE55" s="26"/>
      <c r="AF55" s="27"/>
      <c r="AG55" s="28"/>
      <c r="AH55" s="28"/>
      <c r="AI55" s="28"/>
    </row>
    <row r="56" spans="1:35" ht="13.5" customHeight="1">
      <c r="A56" s="58" t="s">
        <v>107</v>
      </c>
      <c r="B56" s="59">
        <v>0</v>
      </c>
      <c r="C56" s="61" t="s">
        <v>14</v>
      </c>
      <c r="D56" s="59">
        <v>0</v>
      </c>
      <c r="E56" s="59">
        <v>0.11388849312668681</v>
      </c>
      <c r="F56" s="59" t="s">
        <v>14</v>
      </c>
      <c r="G56" s="59">
        <v>0.11388849312668681</v>
      </c>
      <c r="H56" s="59">
        <v>3.9427847892988227E-2</v>
      </c>
      <c r="I56" s="59">
        <v>3.9427847892988227E-2</v>
      </c>
      <c r="J56" s="60">
        <v>7.8046194362773269E-2</v>
      </c>
      <c r="K56" s="60">
        <v>3.3885389383129681E-3</v>
      </c>
      <c r="L56" s="60">
        <v>3.3885389383129681E-3</v>
      </c>
      <c r="M56" s="59" t="s">
        <v>14</v>
      </c>
      <c r="N56" s="59" t="s">
        <v>14</v>
      </c>
      <c r="O56" s="59" t="s">
        <v>14</v>
      </c>
      <c r="Q56" s="23"/>
      <c r="R56" s="24"/>
      <c r="S56" s="24"/>
      <c r="T56" s="24"/>
      <c r="U56" s="25"/>
      <c r="V56" s="23"/>
      <c r="W56" s="24"/>
      <c r="X56" s="24"/>
      <c r="Y56" s="24"/>
      <c r="AA56" s="26"/>
      <c r="AB56" s="28"/>
      <c r="AC56" s="28"/>
      <c r="AD56" s="28"/>
      <c r="AE56" s="26"/>
      <c r="AF56" s="27"/>
      <c r="AG56" s="28"/>
      <c r="AH56" s="28"/>
      <c r="AI56" s="28"/>
    </row>
    <row r="57" spans="1:35" ht="13.5" customHeight="1">
      <c r="A57" s="63" t="s">
        <v>112</v>
      </c>
      <c r="B57" s="64">
        <v>21.627776842273779</v>
      </c>
      <c r="C57" s="64">
        <v>0.25397665951584114</v>
      </c>
      <c r="D57" s="64">
        <v>21.373800182757936</v>
      </c>
      <c r="E57" s="64">
        <v>2.5624147689512503E-2</v>
      </c>
      <c r="F57" s="64">
        <v>9.9658641349616766E-5</v>
      </c>
      <c r="G57" s="64">
        <v>2.5524489048162884E-2</v>
      </c>
      <c r="H57" s="64">
        <v>1.1419491144245437</v>
      </c>
      <c r="I57" s="64">
        <v>1.1395617794956185</v>
      </c>
      <c r="J57" s="65">
        <v>342.67922295823701</v>
      </c>
      <c r="K57" s="65">
        <v>74.113897626245304</v>
      </c>
      <c r="L57" s="65">
        <v>73.920283908392378</v>
      </c>
      <c r="M57" s="64">
        <v>5.0913233029369023</v>
      </c>
      <c r="N57" s="64">
        <v>1.1011400422778757</v>
      </c>
      <c r="O57" s="64">
        <v>1.0992763511375248</v>
      </c>
      <c r="Q57" s="29"/>
      <c r="R57" s="30"/>
      <c r="S57" s="30"/>
      <c r="T57" s="30"/>
      <c r="U57" s="25"/>
      <c r="V57" s="29"/>
      <c r="W57" s="30"/>
      <c r="X57" s="30"/>
      <c r="Y57" s="30"/>
      <c r="AA57" s="26"/>
      <c r="AB57" s="28"/>
      <c r="AC57" s="28"/>
      <c r="AD57" s="28"/>
      <c r="AE57" s="26"/>
      <c r="AF57" s="27"/>
      <c r="AG57" s="28"/>
      <c r="AH57" s="28"/>
      <c r="AI57" s="28"/>
    </row>
    <row r="58" spans="1:35" ht="13.5" customHeight="1">
      <c r="A58" s="55" t="s">
        <v>114</v>
      </c>
      <c r="B58" s="56">
        <v>16.982153176707389</v>
      </c>
      <c r="C58" s="62" t="s">
        <v>14</v>
      </c>
      <c r="D58" s="56">
        <v>16.982153176707389</v>
      </c>
      <c r="E58" s="56">
        <v>1.4373814669516637E-2</v>
      </c>
      <c r="F58" s="56" t="s">
        <v>14</v>
      </c>
      <c r="G58" s="56">
        <v>1.4373814669516637E-2</v>
      </c>
      <c r="H58" s="56">
        <v>0.81239599726628364</v>
      </c>
      <c r="I58" s="56">
        <v>0.81239599726628364</v>
      </c>
      <c r="J58" s="57">
        <v>272.53662150650769</v>
      </c>
      <c r="K58" s="57">
        <v>46.282586526858388</v>
      </c>
      <c r="L58" s="57">
        <v>46.282586526858388</v>
      </c>
      <c r="M58" s="56">
        <v>5.1004083860602938</v>
      </c>
      <c r="N58" s="56">
        <v>0.86615916475838817</v>
      </c>
      <c r="O58" s="56">
        <v>0.86615916475838817</v>
      </c>
      <c r="Q58" s="23"/>
      <c r="R58" s="24"/>
      <c r="S58" s="24"/>
      <c r="T58" s="24"/>
      <c r="U58" s="25"/>
      <c r="V58" s="23"/>
      <c r="W58" s="24"/>
      <c r="X58" s="24"/>
      <c r="Y58" s="24"/>
      <c r="AA58" s="26"/>
      <c r="AB58" s="28"/>
      <c r="AC58" s="28"/>
      <c r="AD58" s="28"/>
      <c r="AE58" s="26"/>
      <c r="AF58" s="27"/>
      <c r="AG58" s="28"/>
      <c r="AH58" s="28"/>
      <c r="AI58" s="28"/>
    </row>
    <row r="59" spans="1:35" ht="13.5" customHeight="1">
      <c r="A59" s="55" t="s">
        <v>116</v>
      </c>
      <c r="B59" s="56">
        <v>4.6456236655663918</v>
      </c>
      <c r="C59" s="62" t="s">
        <v>14</v>
      </c>
      <c r="D59" s="56">
        <v>4.6456236655663918</v>
      </c>
      <c r="E59" s="56">
        <v>1.1250333019995864E-2</v>
      </c>
      <c r="F59" s="56" t="s">
        <v>14</v>
      </c>
      <c r="G59" s="56">
        <v>1.1250333019995864E-2</v>
      </c>
      <c r="H59" s="56">
        <v>0.32955311715826013</v>
      </c>
      <c r="I59" s="56">
        <v>0.32955311715826013</v>
      </c>
      <c r="J59" s="57">
        <v>599.08664805705382</v>
      </c>
      <c r="K59" s="57">
        <v>27.831311099386916</v>
      </c>
      <c r="L59" s="57">
        <v>27.831311099386916</v>
      </c>
      <c r="M59" s="56">
        <v>5.0581126332117305</v>
      </c>
      <c r="N59" s="56">
        <v>0.23498087751948749</v>
      </c>
      <c r="O59" s="56">
        <v>0.23498087751948749</v>
      </c>
      <c r="Q59" s="23"/>
      <c r="R59" s="24"/>
      <c r="S59" s="24"/>
      <c r="T59" s="24"/>
      <c r="U59" s="25"/>
      <c r="V59" s="23"/>
      <c r="W59" s="24"/>
      <c r="X59" s="24"/>
      <c r="Y59" s="24"/>
      <c r="AA59" s="31"/>
      <c r="AB59" s="33"/>
      <c r="AC59" s="33"/>
      <c r="AD59" s="33"/>
      <c r="AE59" s="26"/>
      <c r="AF59" s="32"/>
      <c r="AG59" s="33"/>
      <c r="AH59" s="33"/>
      <c r="AI59" s="33"/>
    </row>
    <row r="60" spans="1:35" ht="13.5" customHeight="1">
      <c r="A60" s="55" t="s">
        <v>118</v>
      </c>
      <c r="B60" s="66" t="s">
        <v>14</v>
      </c>
      <c r="C60" s="56">
        <v>0.25397665951584114</v>
      </c>
      <c r="D60" s="56">
        <v>-0.25397665951584114</v>
      </c>
      <c r="E60" s="56" t="s">
        <v>14</v>
      </c>
      <c r="F60" s="56">
        <v>9.9658641349616766E-5</v>
      </c>
      <c r="G60" s="56">
        <v>-9.9658641349616766E-5</v>
      </c>
      <c r="H60" s="56" t="s">
        <v>14</v>
      </c>
      <c r="I60" s="56">
        <v>-2.3873349289251526E-3</v>
      </c>
      <c r="J60" s="57" t="s">
        <v>14</v>
      </c>
      <c r="K60" s="57" t="s">
        <v>14</v>
      </c>
      <c r="L60" s="57">
        <v>-0.19361371785293191</v>
      </c>
      <c r="M60" s="56" t="s">
        <v>14</v>
      </c>
      <c r="N60" s="56" t="s">
        <v>14</v>
      </c>
      <c r="O60" s="56">
        <v>-1.863691140350834E-3</v>
      </c>
      <c r="Q60" s="23"/>
      <c r="R60" s="24"/>
      <c r="S60" s="24"/>
      <c r="T60" s="24"/>
      <c r="U60" s="25"/>
      <c r="V60" s="23"/>
      <c r="W60" s="24"/>
      <c r="X60" s="24"/>
      <c r="Y60" s="24"/>
      <c r="AA60" s="26"/>
      <c r="AB60" s="28"/>
      <c r="AC60" s="28"/>
      <c r="AD60" s="28"/>
      <c r="AE60" s="26"/>
      <c r="AF60" s="27"/>
      <c r="AG60" s="28"/>
      <c r="AH60" s="28"/>
      <c r="AI60" s="28"/>
    </row>
    <row r="61" spans="1:35" ht="13.5" customHeight="1">
      <c r="A61" s="63" t="s">
        <v>119</v>
      </c>
      <c r="B61" s="64">
        <v>15.342384323624605</v>
      </c>
      <c r="C61" s="64">
        <v>5.1991668287675E-2</v>
      </c>
      <c r="D61" s="64">
        <v>15.290392655336932</v>
      </c>
      <c r="E61" s="64">
        <v>1.0253859333939457</v>
      </c>
      <c r="F61" s="64">
        <v>1.2997917071918749E-4</v>
      </c>
      <c r="G61" s="64">
        <v>1.0252559542232265</v>
      </c>
      <c r="H61" s="64">
        <v>0.59890929910279234</v>
      </c>
      <c r="I61" s="64">
        <v>0.59427237871428462</v>
      </c>
      <c r="J61" s="65">
        <v>170.04416371011644</v>
      </c>
      <c r="K61" s="65">
        <v>26.088829116299458</v>
      </c>
      <c r="L61" s="65">
        <v>25.674888030350342</v>
      </c>
      <c r="M61" s="64">
        <v>6.5431224599406201</v>
      </c>
      <c r="N61" s="64">
        <v>1.0038709945694901</v>
      </c>
      <c r="O61" s="64">
        <v>1.002431485654228</v>
      </c>
      <c r="Q61" s="29"/>
      <c r="R61" s="30"/>
      <c r="S61" s="30"/>
      <c r="T61" s="30"/>
      <c r="U61" s="25"/>
      <c r="V61" s="29"/>
      <c r="W61" s="30"/>
      <c r="X61" s="30"/>
      <c r="Y61" s="30"/>
      <c r="AA61" s="26"/>
      <c r="AB61" s="28"/>
      <c r="AC61" s="28"/>
      <c r="AD61" s="28"/>
      <c r="AE61" s="26"/>
      <c r="AF61" s="27"/>
      <c r="AG61" s="28"/>
      <c r="AH61" s="28"/>
      <c r="AI61" s="28"/>
    </row>
    <row r="62" spans="1:35" ht="13.5" customHeight="1">
      <c r="A62" s="55" t="s">
        <v>120</v>
      </c>
      <c r="B62" s="56">
        <v>15.126052071128287</v>
      </c>
      <c r="C62" s="56">
        <v>5.1991668287675E-2</v>
      </c>
      <c r="D62" s="56">
        <v>15.074060402840614</v>
      </c>
      <c r="E62" s="56">
        <v>1.0127502037635889</v>
      </c>
      <c r="F62" s="56">
        <v>1.2997917071918749E-4</v>
      </c>
      <c r="G62" s="56">
        <v>1.0126202245928697</v>
      </c>
      <c r="H62" s="56">
        <v>0.58563773693894106</v>
      </c>
      <c r="I62" s="56">
        <v>0.58100081655043334</v>
      </c>
      <c r="J62" s="57">
        <v>166.85649715819764</v>
      </c>
      <c r="K62" s="57">
        <v>25.238800644209661</v>
      </c>
      <c r="L62" s="57">
        <v>24.824859558260545</v>
      </c>
      <c r="M62" s="56">
        <v>6.55453265471869</v>
      </c>
      <c r="N62" s="56">
        <v>0.99144202237185597</v>
      </c>
      <c r="O62" s="56">
        <v>0.99000251345659385</v>
      </c>
      <c r="Q62" s="23"/>
      <c r="R62" s="24"/>
      <c r="S62" s="24"/>
      <c r="T62" s="24"/>
      <c r="U62" s="25"/>
      <c r="V62" s="23"/>
      <c r="W62" s="24"/>
      <c r="X62" s="24"/>
      <c r="Y62" s="24"/>
      <c r="AA62" s="26"/>
      <c r="AB62" s="28"/>
      <c r="AC62" s="28"/>
      <c r="AD62" s="28"/>
      <c r="AE62" s="26"/>
      <c r="AF62" s="27"/>
      <c r="AG62" s="28"/>
      <c r="AH62" s="28"/>
      <c r="AI62" s="28"/>
    </row>
    <row r="63" spans="1:35" ht="13.5" customHeight="1">
      <c r="A63" s="58" t="s">
        <v>121</v>
      </c>
      <c r="B63" s="59">
        <v>3.4643548865838039</v>
      </c>
      <c r="C63" s="61" t="s">
        <v>14</v>
      </c>
      <c r="D63" s="59">
        <v>3.4643548865838039</v>
      </c>
      <c r="E63" s="59">
        <v>0.1994460704928262</v>
      </c>
      <c r="F63" s="59" t="s">
        <v>14</v>
      </c>
      <c r="G63" s="59">
        <v>0.1994460704928262</v>
      </c>
      <c r="H63" s="59">
        <v>0.13662542903404146</v>
      </c>
      <c r="I63" s="59">
        <v>0.13662542903404146</v>
      </c>
      <c r="J63" s="60">
        <v>188.46807790158792</v>
      </c>
      <c r="K63" s="60">
        <v>6.5292030664342313</v>
      </c>
      <c r="L63" s="60">
        <v>6.5292030664342313</v>
      </c>
      <c r="M63" s="59">
        <v>5.6273128317798733</v>
      </c>
      <c r="N63" s="59">
        <v>0.19495008707112343</v>
      </c>
      <c r="O63" s="59">
        <v>0.19495008707112343</v>
      </c>
      <c r="Q63" s="23"/>
      <c r="R63" s="24"/>
      <c r="S63" s="24"/>
      <c r="T63" s="24"/>
      <c r="U63" s="25"/>
      <c r="V63" s="23"/>
      <c r="W63" s="24"/>
      <c r="X63" s="24"/>
      <c r="Y63" s="24"/>
      <c r="AA63" s="26"/>
      <c r="AB63" s="28"/>
      <c r="AC63" s="28"/>
      <c r="AD63" s="28"/>
      <c r="AE63" s="26"/>
      <c r="AF63" s="27"/>
      <c r="AG63" s="28"/>
      <c r="AH63" s="28"/>
      <c r="AI63" s="28"/>
    </row>
    <row r="64" spans="1:35" ht="13.5" customHeight="1">
      <c r="A64" s="58" t="s">
        <v>122</v>
      </c>
      <c r="B64" s="59">
        <v>11.197354674812958</v>
      </c>
      <c r="C64" s="59">
        <v>5.1991668287675E-2</v>
      </c>
      <c r="D64" s="59">
        <v>11.145363006525283</v>
      </c>
      <c r="E64" s="59">
        <v>0.78005094288952792</v>
      </c>
      <c r="F64" s="59">
        <v>1.2997917071918749E-4</v>
      </c>
      <c r="G64" s="59">
        <v>0.7799209637188087</v>
      </c>
      <c r="H64" s="59">
        <v>0.4326969716769456</v>
      </c>
      <c r="I64" s="59">
        <v>0.42806005128843788</v>
      </c>
      <c r="J64" s="60">
        <v>162.0350788597369</v>
      </c>
      <c r="K64" s="60">
        <v>18.143642477537611</v>
      </c>
      <c r="L64" s="60">
        <v>17.729701391588495</v>
      </c>
      <c r="M64" s="59">
        <v>6.8226454302679853</v>
      </c>
      <c r="N64" s="59">
        <v>0.76395580703202493</v>
      </c>
      <c r="O64" s="59">
        <v>0.7625162981167628</v>
      </c>
      <c r="Q64" s="23"/>
      <c r="R64" s="24"/>
      <c r="S64" s="24"/>
      <c r="T64" s="24"/>
      <c r="U64" s="25"/>
      <c r="V64" s="23"/>
      <c r="W64" s="24"/>
      <c r="X64" s="24"/>
      <c r="Y64" s="24"/>
      <c r="AA64" s="31"/>
      <c r="AB64" s="33"/>
      <c r="AC64" s="33"/>
      <c r="AD64" s="33"/>
      <c r="AE64" s="26"/>
      <c r="AF64" s="32"/>
      <c r="AG64" s="33"/>
      <c r="AH64" s="33"/>
      <c r="AI64" s="33"/>
    </row>
    <row r="65" spans="1:35" ht="13.5" customHeight="1">
      <c r="A65" s="58" t="s">
        <v>123</v>
      </c>
      <c r="B65" s="59">
        <v>0.46434250973152347</v>
      </c>
      <c r="C65" s="61" t="s">
        <v>14</v>
      </c>
      <c r="D65" s="59">
        <v>0.46434250973152347</v>
      </c>
      <c r="E65" s="59">
        <v>3.3253190381234851E-2</v>
      </c>
      <c r="F65" s="59" t="s">
        <v>14</v>
      </c>
      <c r="G65" s="59">
        <v>3.3253190381234851E-2</v>
      </c>
      <c r="H65" s="59">
        <v>1.6315336227953961E-2</v>
      </c>
      <c r="I65" s="59">
        <v>1.6315336227953961E-2</v>
      </c>
      <c r="J65" s="60">
        <v>121.88311179285415</v>
      </c>
      <c r="K65" s="60">
        <v>0.56595510023781748</v>
      </c>
      <c r="L65" s="60">
        <v>0.56595510023781748</v>
      </c>
      <c r="M65" s="59">
        <v>7.0069243256491047</v>
      </c>
      <c r="N65" s="59">
        <v>3.2536128268707679E-2</v>
      </c>
      <c r="O65" s="59">
        <v>3.2536128268707679E-2</v>
      </c>
      <c r="Q65" s="29"/>
      <c r="R65" s="30"/>
      <c r="S65" s="30"/>
      <c r="T65" s="30"/>
      <c r="U65" s="25"/>
      <c r="V65" s="29"/>
      <c r="W65" s="30"/>
      <c r="X65" s="30"/>
      <c r="Y65" s="30"/>
      <c r="AA65" s="26"/>
      <c r="AB65" s="28"/>
      <c r="AC65" s="28"/>
      <c r="AD65" s="28"/>
      <c r="AE65" s="26"/>
      <c r="AF65" s="27"/>
      <c r="AG65" s="28"/>
      <c r="AH65" s="28"/>
      <c r="AI65" s="28"/>
    </row>
    <row r="66" spans="1:35" ht="13.5" customHeight="1" thickBot="1">
      <c r="A66" s="55" t="s">
        <v>124</v>
      </c>
      <c r="B66" s="56">
        <v>0.21633225249631785</v>
      </c>
      <c r="C66" s="62" t="s">
        <v>14</v>
      </c>
      <c r="D66" s="56">
        <v>0.21633225249631785</v>
      </c>
      <c r="E66" s="56">
        <v>1.2635729630356772E-2</v>
      </c>
      <c r="F66" s="56" t="s">
        <v>14</v>
      </c>
      <c r="G66" s="56">
        <v>1.2635729630356772E-2</v>
      </c>
      <c r="H66" s="56">
        <v>1.327156216385132E-2</v>
      </c>
      <c r="I66" s="56">
        <v>1.327156216385132E-2</v>
      </c>
      <c r="J66" s="57">
        <v>392.92729691531525</v>
      </c>
      <c r="K66" s="57">
        <v>0.85002847208979615</v>
      </c>
      <c r="L66" s="57">
        <v>0.85002847208979615</v>
      </c>
      <c r="M66" s="56">
        <v>5.7453163151646169</v>
      </c>
      <c r="N66" s="56">
        <v>1.2428972197634064E-2</v>
      </c>
      <c r="O66" s="56">
        <v>1.2428972197634064E-2</v>
      </c>
      <c r="Q66" s="35"/>
      <c r="R66" s="36"/>
      <c r="S66" s="36"/>
      <c r="T66" s="36"/>
      <c r="U66" s="25"/>
      <c r="V66" s="35"/>
      <c r="W66" s="36"/>
      <c r="X66" s="36"/>
      <c r="Y66" s="36"/>
      <c r="AA66" s="26"/>
      <c r="AB66" s="28"/>
      <c r="AC66" s="28"/>
      <c r="AD66" s="28"/>
      <c r="AE66" s="26"/>
      <c r="AF66" s="27"/>
      <c r="AG66" s="28"/>
      <c r="AH66" s="28"/>
      <c r="AI66" s="28"/>
    </row>
    <row r="67" spans="1:35" ht="13.5" customHeight="1" thickTop="1">
      <c r="A67" s="63" t="s">
        <v>125</v>
      </c>
      <c r="B67" s="64">
        <v>23.700890576524529</v>
      </c>
      <c r="C67" s="64">
        <v>33.329999999999949</v>
      </c>
      <c r="D67" s="64">
        <v>-9.629109423475418</v>
      </c>
      <c r="E67" s="64">
        <v>0.57538225604669546</v>
      </c>
      <c r="F67" s="64">
        <v>1.3812289584100583</v>
      </c>
      <c r="G67" s="64">
        <v>-0.80584670236336287</v>
      </c>
      <c r="H67" s="64">
        <v>0.95554307128470573</v>
      </c>
      <c r="I67" s="64">
        <v>-0.92671097096312649</v>
      </c>
      <c r="J67" s="65">
        <v>256.36683943455915</v>
      </c>
      <c r="K67" s="65">
        <v>60.761224088879231</v>
      </c>
      <c r="L67" s="65">
        <v>-62.456781747313002</v>
      </c>
      <c r="M67" s="64">
        <v>2.3433679349419414</v>
      </c>
      <c r="N67" s="64">
        <v>0.55539907006595191</v>
      </c>
      <c r="O67" s="64">
        <v>-0.76794401091626829</v>
      </c>
      <c r="Q67" s="34"/>
      <c r="R67" s="42"/>
      <c r="S67" s="42"/>
      <c r="T67" s="42"/>
      <c r="U67" s="18"/>
      <c r="V67" s="37" t="s">
        <v>37</v>
      </c>
      <c r="W67" s="38">
        <f>SUM(W50:W66,R50:R66)</f>
        <v>0</v>
      </c>
      <c r="X67" s="38">
        <f>SUM(X50:X66,S50:S66)</f>
        <v>0</v>
      </c>
      <c r="Y67" s="38">
        <f>SUM(Y50:Y66,T50:T66)</f>
        <v>0</v>
      </c>
      <c r="AA67" s="26"/>
      <c r="AB67" s="28"/>
      <c r="AC67" s="28"/>
      <c r="AD67" s="28"/>
      <c r="AE67" s="26"/>
      <c r="AF67" s="27"/>
      <c r="AG67" s="28"/>
      <c r="AH67" s="28"/>
      <c r="AI67" s="28"/>
    </row>
    <row r="68" spans="1:35" ht="13.5" customHeight="1">
      <c r="A68" s="63" t="s">
        <v>131</v>
      </c>
      <c r="B68" s="64">
        <v>1.9535059624418345</v>
      </c>
      <c r="C68" s="67" t="s">
        <v>14</v>
      </c>
      <c r="D68" s="64">
        <v>1.9535059624418345</v>
      </c>
      <c r="E68" s="64">
        <v>2.7827165628353349E-2</v>
      </c>
      <c r="F68" s="64" t="s">
        <v>14</v>
      </c>
      <c r="G68" s="64">
        <v>2.7827165628353349E-2</v>
      </c>
      <c r="H68" s="64" t="s">
        <v>14</v>
      </c>
      <c r="I68" s="64" t="s">
        <v>14</v>
      </c>
      <c r="J68" s="65">
        <v>2922.2871516234586</v>
      </c>
      <c r="K68" s="65">
        <v>57.08705374663591</v>
      </c>
      <c r="L68" s="65">
        <v>57.08705374663591</v>
      </c>
      <c r="M68" s="64">
        <v>37.92450345317436</v>
      </c>
      <c r="N68" s="64">
        <v>0.7408574361842204</v>
      </c>
      <c r="O68" s="64">
        <v>0.7408574361842204</v>
      </c>
      <c r="AA68" s="26"/>
      <c r="AB68" s="28"/>
      <c r="AC68" s="28"/>
      <c r="AD68" s="28"/>
      <c r="AE68" s="26"/>
      <c r="AF68" s="27"/>
      <c r="AG68" s="28"/>
      <c r="AH68" s="28"/>
      <c r="AI68" s="28"/>
    </row>
    <row r="69" spans="1:35" ht="13.5" customHeight="1">
      <c r="A69" s="63" t="s">
        <v>126</v>
      </c>
      <c r="B69" s="64">
        <v>10.357735875820429</v>
      </c>
      <c r="C69" s="64">
        <v>33.034031672196448</v>
      </c>
      <c r="D69" s="64">
        <v>-22.676295796376017</v>
      </c>
      <c r="E69" s="64">
        <v>2.5894339689551075E-2</v>
      </c>
      <c r="F69" s="64">
        <v>7.9757337984526153E-2</v>
      </c>
      <c r="G69" s="64">
        <v>-5.3862998294975081E-2</v>
      </c>
      <c r="H69" s="64">
        <v>0.38537204494589261</v>
      </c>
      <c r="I69" s="64">
        <v>-1.2986729696900561</v>
      </c>
      <c r="J69" s="65">
        <v>283.26884943204431</v>
      </c>
      <c r="K69" s="65">
        <v>29.340239242646589</v>
      </c>
      <c r="L69" s="65">
        <v>-110.1909104934588</v>
      </c>
      <c r="M69" s="64">
        <v>5.2739657295235931</v>
      </c>
      <c r="N69" s="64">
        <v>0.54626344044534014</v>
      </c>
      <c r="O69" s="64">
        <v>-0.8029720949341006</v>
      </c>
      <c r="AA69" s="31"/>
      <c r="AB69" s="33"/>
      <c r="AC69" s="33"/>
      <c r="AD69" s="33"/>
      <c r="AE69" s="26"/>
      <c r="AF69" s="32"/>
      <c r="AG69" s="33"/>
      <c r="AH69" s="33"/>
      <c r="AI69" s="33"/>
    </row>
    <row r="70" spans="1:35" ht="13.5" customHeight="1">
      <c r="A70" s="63" t="s">
        <v>127</v>
      </c>
      <c r="B70" s="64">
        <v>17.437804291312222</v>
      </c>
      <c r="C70" s="64">
        <v>33.329999999999984</v>
      </c>
      <c r="D70" s="64">
        <v>-15.892195708687758</v>
      </c>
      <c r="E70" s="64">
        <v>1.2998437928717315</v>
      </c>
      <c r="F70" s="64">
        <v>2.2573466799079727</v>
      </c>
      <c r="G70" s="64">
        <v>-0.9575028870362412</v>
      </c>
      <c r="H70" s="64">
        <v>0.99117367639618259</v>
      </c>
      <c r="I70" s="64">
        <v>-0.71352173610743364</v>
      </c>
      <c r="J70" s="65">
        <v>336.92016850534088</v>
      </c>
      <c r="K70" s="65">
        <v>58.751479601920757</v>
      </c>
      <c r="L70" s="65">
        <v>-39.13720246052312</v>
      </c>
      <c r="M70" s="64">
        <v>7.2649774810299812</v>
      </c>
      <c r="N70" s="64">
        <v>1.2668525549499119</v>
      </c>
      <c r="O70" s="64">
        <v>-0.93238883112568649</v>
      </c>
      <c r="AA70" s="26"/>
      <c r="AB70" s="28"/>
      <c r="AC70" s="28"/>
      <c r="AD70" s="28"/>
      <c r="AE70" s="26"/>
      <c r="AF70" s="27"/>
      <c r="AG70" s="28"/>
      <c r="AH70" s="28"/>
      <c r="AI70" s="28"/>
    </row>
    <row r="71" spans="1:35" ht="13.5" customHeight="1">
      <c r="A71" s="63" t="s">
        <v>128</v>
      </c>
      <c r="B71" s="64">
        <v>6.9543935960283205</v>
      </c>
      <c r="C71" s="67" t="s">
        <v>14</v>
      </c>
      <c r="D71" s="64">
        <v>6.9543935960283205</v>
      </c>
      <c r="E71" s="64">
        <v>4.0463640453773701E-2</v>
      </c>
      <c r="F71" s="64" t="s">
        <v>14</v>
      </c>
      <c r="G71" s="64">
        <v>4.0463640453773701E-2</v>
      </c>
      <c r="H71" s="64">
        <v>-6.2594647646907031E-2</v>
      </c>
      <c r="I71" s="64">
        <v>-6.2594647646907031E-2</v>
      </c>
      <c r="J71" s="65">
        <v>-2.7399314848924261</v>
      </c>
      <c r="K71" s="65">
        <v>-0.19054561972092265</v>
      </c>
      <c r="L71" s="65">
        <v>-0.19054561972092265</v>
      </c>
      <c r="M71" s="64">
        <v>3.2757577775309369E-6</v>
      </c>
      <c r="N71" s="64">
        <v>2.2780908910201083E-7</v>
      </c>
      <c r="O71" s="64">
        <v>2.2780908910201083E-7</v>
      </c>
      <c r="AA71" s="26"/>
      <c r="AB71" s="28"/>
      <c r="AC71" s="28"/>
      <c r="AD71" s="28"/>
      <c r="AE71" s="26"/>
      <c r="AF71" s="27"/>
      <c r="AG71" s="28"/>
      <c r="AH71" s="28"/>
      <c r="AI71" s="28"/>
    </row>
    <row r="72" spans="1:35" ht="13.5" customHeight="1">
      <c r="A72" s="63" t="s">
        <v>129</v>
      </c>
      <c r="B72" s="64">
        <v>-0.79787644550044934</v>
      </c>
      <c r="C72" s="67" t="s">
        <v>14</v>
      </c>
      <c r="D72" s="64">
        <v>-0.79787644550044934</v>
      </c>
      <c r="E72" s="64">
        <v>-7.97876445500448E-6</v>
      </c>
      <c r="F72" s="64" t="s">
        <v>14</v>
      </c>
      <c r="G72" s="64">
        <v>-7.97876445500448E-6</v>
      </c>
      <c r="H72" s="64">
        <v>-6.2943674851820963E-3</v>
      </c>
      <c r="I72" s="64">
        <v>-6.2943674851820963E-3</v>
      </c>
      <c r="J72" s="65">
        <v>1.0000000000000002E-3</v>
      </c>
      <c r="K72" s="65">
        <v>-7.97876445500448E-6</v>
      </c>
      <c r="L72" s="65">
        <v>-7.97876445500448E-6</v>
      </c>
      <c r="M72" s="64">
        <v>1.0000000000000002E-3</v>
      </c>
      <c r="N72" s="64">
        <v>-7.97876445500448E-6</v>
      </c>
      <c r="O72" s="64">
        <v>-7.97876445500448E-6</v>
      </c>
      <c r="AA72" s="26"/>
      <c r="AB72" s="28"/>
      <c r="AC72" s="28"/>
      <c r="AD72" s="28"/>
      <c r="AE72" s="26"/>
      <c r="AF72" s="27"/>
      <c r="AG72" s="28"/>
      <c r="AH72" s="28"/>
      <c r="AI72" s="28"/>
    </row>
    <row r="73" spans="1:35" ht="13.5" customHeight="1">
      <c r="A73" s="68" t="s">
        <v>37</v>
      </c>
      <c r="B73" s="69">
        <v>100.00000000000003</v>
      </c>
      <c r="C73" s="69">
        <v>99.999999999999901</v>
      </c>
      <c r="D73" s="69">
        <v>1.2212453270876722E-13</v>
      </c>
      <c r="E73" s="69">
        <v>3.7182307739904696</v>
      </c>
      <c r="F73" s="69">
        <v>3.7185626141146257</v>
      </c>
      <c r="G73" s="69">
        <v>-3.3184012415610198E-4</v>
      </c>
      <c r="H73" s="69">
        <v>4.1364946935240408</v>
      </c>
      <c r="I73" s="69">
        <v>-1.1415240311807899</v>
      </c>
      <c r="J73" s="70">
        <v>306.00598330956649</v>
      </c>
      <c r="K73" s="70">
        <v>306.0059833095666</v>
      </c>
      <c r="L73" s="70">
        <v>-55.239409128976945</v>
      </c>
      <c r="M73" s="69">
        <v>5.2143757875374224</v>
      </c>
      <c r="N73" s="69">
        <v>5.2143757875374233</v>
      </c>
      <c r="O73" s="69">
        <v>0.33925258504455158</v>
      </c>
      <c r="AA73" s="26"/>
      <c r="AB73" s="28"/>
      <c r="AC73" s="28"/>
      <c r="AD73" s="28"/>
      <c r="AE73" s="26"/>
      <c r="AF73" s="27"/>
      <c r="AG73" s="28"/>
      <c r="AH73" s="28"/>
      <c r="AI73" s="28"/>
    </row>
    <row r="74" spans="1:35" ht="13.5" customHeight="1">
      <c r="AA74" s="31"/>
      <c r="AB74" s="33"/>
      <c r="AC74" s="33"/>
      <c r="AD74" s="33"/>
      <c r="AE74" s="26"/>
      <c r="AF74" s="32"/>
      <c r="AG74" s="33"/>
      <c r="AH74" s="33"/>
      <c r="AI74" s="33"/>
    </row>
    <row r="75" spans="1:35" ht="13.5" customHeight="1">
      <c r="AA75" s="26"/>
      <c r="AB75" s="28"/>
      <c r="AC75" s="28"/>
      <c r="AD75" s="28"/>
      <c r="AE75" s="26"/>
      <c r="AF75" s="27"/>
      <c r="AG75" s="28"/>
      <c r="AH75" s="28"/>
      <c r="AI75" s="28"/>
    </row>
    <row r="76" spans="1:35" ht="13.5" customHeight="1">
      <c r="AA76" s="26"/>
      <c r="AB76" s="28"/>
      <c r="AC76" s="28"/>
      <c r="AD76" s="28"/>
      <c r="AE76" s="26"/>
      <c r="AF76" s="27"/>
      <c r="AG76" s="28"/>
      <c r="AH76" s="28"/>
      <c r="AI76" s="28"/>
    </row>
    <row r="77" spans="1:35" ht="13.5" customHeight="1">
      <c r="AA77" s="26"/>
      <c r="AB77" s="28"/>
      <c r="AC77" s="28"/>
      <c r="AD77" s="28"/>
      <c r="AE77" s="26"/>
      <c r="AF77" s="27"/>
      <c r="AG77" s="28"/>
      <c r="AH77" s="28"/>
      <c r="AI77" s="28"/>
    </row>
    <row r="78" spans="1:35" ht="13.5" customHeight="1">
      <c r="AA78" s="26"/>
      <c r="AB78" s="28"/>
      <c r="AC78" s="28"/>
      <c r="AD78" s="28"/>
      <c r="AE78" s="26"/>
      <c r="AF78" s="27"/>
      <c r="AG78" s="28"/>
      <c r="AH78" s="28"/>
      <c r="AI78" s="28"/>
    </row>
    <row r="79" spans="1:35" ht="13.5" customHeight="1">
      <c r="AA79" s="26"/>
      <c r="AB79" s="28"/>
      <c r="AC79" s="28"/>
      <c r="AD79" s="28"/>
      <c r="AE79" s="26"/>
      <c r="AF79" s="27"/>
      <c r="AG79" s="28"/>
      <c r="AH79" s="28"/>
      <c r="AI79" s="28"/>
    </row>
    <row r="80" spans="1:35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</sheetData>
  <mergeCells count="7">
    <mergeCell ref="N50:O50"/>
    <mergeCell ref="B50:D50"/>
    <mergeCell ref="E50:G50"/>
    <mergeCell ref="H50:I50"/>
    <mergeCell ref="J50:J51"/>
    <mergeCell ref="K50:L50"/>
    <mergeCell ref="M50:M51"/>
  </mergeCells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NBSIX</vt:lpstr>
      <vt:lpstr>ILSURSCO</vt:lpstr>
      <vt:lpstr>NRCO</vt:lpstr>
      <vt:lpstr>MN</vt:lpstr>
      <vt:lpstr>NYCERSMO</vt:lpstr>
      <vt:lpstr>DAI</vt:lpstr>
      <vt:lpstr>DAI2</vt:lpstr>
      <vt:lpstr>MYCR</vt:lpstr>
      <vt:lpstr>NBSIU</vt:lpstr>
      <vt:lpstr>UPS</vt:lpstr>
      <vt:lpstr>ZEN</vt:lpstr>
      <vt:lpstr>DAL</vt:lpstr>
      <vt:lpstr>JNL</vt:lpstr>
      <vt:lpstr>LAW</vt:lpstr>
      <vt:lpstr>LAW2</vt:lpstr>
      <vt:lpstr>FSBCCO</vt:lpstr>
      <vt:lpstr>NYSC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Pardee, James</cp:lastModifiedBy>
  <dcterms:created xsi:type="dcterms:W3CDTF">2016-08-11T03:59:42Z</dcterms:created>
  <dcterms:modified xsi:type="dcterms:W3CDTF">2017-03-29T23:04:53Z</dcterms:modified>
</cp:coreProperties>
</file>